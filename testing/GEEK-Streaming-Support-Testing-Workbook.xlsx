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b30e86dfad641d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ython Logic Tests" sheetId="1" r:id="R8e1a893fe35b4eae"/>
    <x:sheet xmlns:r="http://schemas.openxmlformats.org/officeDocument/2006/relationships" name="Flowchart Validation" sheetId="2" r:id="R5c85c02112664574"/>
    <x:sheet xmlns:r="http://schemas.openxmlformats.org/officeDocument/2006/relationships" name="Landbot UAT" sheetId="3" r:id="R70cacdc2709445ba"/>
    <x:sheet xmlns:r="http://schemas.openxmlformats.org/officeDocument/2006/relationships" name="Defect &amp; Retest Log" sheetId="4" r:id="R408e7eef257d4e6d"/>
  </x:sheets>
  <x:definedNames>
    <x:definedName name="Z_60B9DA14_84FA_4985_8DE3_1B38E5D14210_.wvu.FilterData" localSheetId="0" hidden="1">'Python Logic Tests'!$A$10:$N$50</x:definedName>
  </x:definedNames>
</x:workbook>
</file>

<file path=xl/sharedStrings.xml><?xml version="1.0" encoding="utf-8"?>
<x:sst xmlns:x="http://schemas.openxmlformats.org/spreadsheetml/2006/main">
  <x:si>
    <x:t xml:space="preserve">GEEK Streaming Support: Python Logic Test Plan</x:t>
  </x:si>
  <x:si>
    <x:t xml:space="preserve">Source notebook</x:t>
  </x:si>
  <x:si>
    <x:t xml:space="preserve">Run one row at a time in Colab. Enter the four input values shown, copy the final message into Actual Final Result, and select a status.</x:t>
  </x:si>
  <x:si>
    <x:t xml:space="preserve">Tests TC-033 through TC-040 check invalid or differently formatted input. A failure there can be documented as a code improvement in the case study.</x:t>
  </x:si>
  <x:si>
    <x:t xml:space="preserve">Total Tests</x:t>
  </x:si>
  <x:si>
    <x:t xml:space="preserve">Pass</x:t>
  </x:si>
  <x:si>
    <x:t xml:space="preserve">Fail</x:t>
  </x:si>
  <x:si>
    <x:t xml:space="preserve">Blocked</x:t>
  </x:si>
  <x:si>
    <x:t xml:space="preserve">Not Tested</x:t>
  </x:si>
  <x:si>
    <x:t xml:space="preserve">Completion</x:t>
  </x:si>
  <x:si>
    <x:t xml:space="preserve">Test ID</x:t>
  </x:si>
  <x:si>
    <x:t xml:space="preserve">Test Type</x:t>
  </x:si>
  <x:si>
    <x:t xml:space="preserve">Category</x:t>
  </x:si>
  <x:si>
    <x:t xml:space="preserve">Symptom / Scenario</x:t>
  </x:si>
  <x:si>
    <x:t xml:space="preserve">Main Menu Input</x:t>
  </x:si>
  <x:si>
    <x:t xml:space="preserve">Symptom Input</x:t>
  </x:si>
  <x:si>
    <x:t xml:space="preserve">Diagnostic Answer</x:t>
  </x:si>
  <x:si>
    <x:t xml:space="preserve">Resolved Answer</x:t>
  </x:si>
  <x:si>
    <x:t xml:space="preserve">Expected Final Result</x:t>
  </x:si>
  <x:si>
    <x:t xml:space="preserve">Actual Final Result</x:t>
  </x:si>
  <x:si>
    <x:t xml:space="preserve">Status</x:t>
  </x:si>
  <x:si>
    <x:t xml:space="preserve">Notes / Fix Needed</x:t>
  </x:si>
  <x:si>
    <x:t xml:space="preserve">Retest Status</x:t>
  </x:si>
  <x:si>
    <x:t xml:space="preserve">Date Tested</x:t>
  </x:si>
  <x:si>
    <x:t xml:space="preserve">TC-001</x:t>
  </x:si>
  <x:si>
    <x:t xml:space="preserve">Valid path</x:t>
  </x:si>
  <x:si>
    <x:t xml:space="preserve">Power</x:t>
  </x:si>
  <x:si>
    <x:t xml:space="preserve">Won't turn on</x:t>
  </x:si>
  <x:si>
    <x:t xml:space="preserve">1</x:t>
  </x:si>
  <x:si>
    <x:t xml:space="preserve">yes</x:t>
  </x:si>
  <x:si>
    <x:t xml:space="preserve">Awesome! Glad it's working.</x:t>
  </x:si>
  <x:si>
    <x:t xml:space="preserve">Status light visible; input or HDMI change resolves issue.</x:t>
  </x:si>
  <x:si>
    <x:t xml:space="preserve">Not Needed</x:t>
  </x:si>
  <x:si>
    <x:t xml:space="preserve">TC-002</x:t>
  </x:si>
  <x:si>
    <x:t xml:space="preserve">no</x:t>
  </x:si>
  <x:si>
    <x:t xml:space="preserve">Escalation: Creating a ticket and connecting you to a Hardware Specialist for further diagnostics...</x:t>
  </x:si>
  <x:si>
    <x:t xml:space="preserve">Status light visible; input or HDMI change does not resolve issue.</x:t>
  </x:si>
  <x:si>
    <x:t xml:space="preserve">TC-003</x:t>
  </x:si>
  <x:si>
    <x:t xml:space="preserve">Great! You are good to go.</x:t>
  </x:si>
  <x:si>
    <x:t xml:space="preserve">No status light; securing the power cable resolves issue.</x:t>
  </x:si>
  <x:si>
    <x:t xml:space="preserve">TC-004</x:t>
  </x:si>
  <x:si>
    <x:t xml:space="preserve">Escalation: Creating a hardware replacement ticket for your power adapter...</x:t>
  </x:si>
  <x:si>
    <x:t xml:space="preserve">No status light; securing the power cable does not resolve issue.</x:t>
  </x:si>
  <x:si>
    <x:t xml:space="preserve">TC-005</x:t>
  </x:si>
  <x:si>
    <x:t xml:space="preserve">Keeps restarting</x:t>
  </x:si>
  <x:si>
    <x:t xml:space="preserve">2</x:t>
  </x:si>
  <x:si>
    <x:t xml:space="preserve">Perfect! Direct wall power solves a lot of issues.</x:t>
  </x:si>
  <x:si>
    <x:t xml:space="preserve">Perfect! Direct wall power solves a lot of issues.
</x:t>
  </x:si>
  <x:si>
    <x:t xml:space="preserve">Device was not connected directly to the wall; moving it resolves issue.</x:t>
  </x:si>
  <x:si>
    <x:t xml:space="preserve">TC-006</x:t>
  </x:si>
  <x:si>
    <x:t xml:space="preserve">Escalation: Creating a ticket and transferring to Tier 2 Support to check for a system boot loop...</x:t>
  </x:si>
  <x:si>
    <x:t xml:space="preserve">Escalation: Creating a ticket and transferring to Tier 2 Support to check for a system boot loop...
</x:t>
  </x:si>
  <x:si>
    <x:t xml:space="preserve">Moving the device to wall power does not resolve restarting.</x:t>
  </x:si>
  <x:si>
    <x:t xml:space="preserve">TC-007</x:t>
  </x:si>
  <x:si>
    <x:t xml:space="preserve">Excellent! Enjoy your streaming.</x:t>
  </x:si>
  <x:si>
    <x:t xml:space="preserve">Device was already connected to wall power; power cycle resolves issue.</x:t>
  </x:si>
  <x:si>
    <x:t xml:space="preserve">TC-008</x:t>
  </x:si>
  <x:si>
    <x:t xml:space="preserve">Escalation: Creating ticket and connecting to Tier 2 Support to perform a factory reset...</x:t>
  </x:si>
  <x:si>
    <x:t xml:space="preserve">Escalation: Creating ticket and connecting to Tier 2 Support to perform a factory reset...
</x:t>
  </x:si>
  <x:si>
    <x:t xml:space="preserve">Device was already connected to wall power; power cycle does not resolve issue.</x:t>
  </x:si>
  <x:si>
    <x:t xml:space="preserve">TC-009</x:t>
  </x:si>
  <x:si>
    <x:t xml:space="preserve">Connection</x:t>
  </x:si>
  <x:si>
    <x:t xml:space="preserve">No Internet</x:t>
  </x:si>
  <x:si>
    <x:t xml:space="preserve">Awesome! We're back online</x:t>
  </x:si>
  <x:si>
    <x:t xml:space="preserve">Wi-Fi is down on other devices; router restart resolves issue.</x:t>
  </x:si>
  <x:si>
    <x:t xml:space="preserve">TC-010</x:t>
  </x:si>
  <x:si>
    <x:t xml:space="preserve">Escalation: We recommend contacting your Internet Service Provider.</x:t>
  </x:si>
  <x:si>
    <x:t xml:space="preserve">Wi-Fi is down on other devices; router restart does not resolve issue.</x:t>
  </x:si>
  <x:si>
    <x:t xml:space="preserve">TC-011</x:t>
  </x:si>
  <x:si>
    <x:t xml:space="preserve">Perfect! Network settings refreshed successfully.</x:t>
  </x:si>
  <x:si>
    <x:t xml:space="preserve">Wi-Fi works elsewhere; reconnecting the streaming device resolves issue.</x:t>
  </x:si>
  <x:si>
    <x:t xml:space="preserve">TC-012</x:t>
  </x:si>
  <x:si>
    <x:t xml:space="preserve">Escalation: Creating a ticket and routing you to a Network Specialist to check your device's MAC address...</x:t>
  </x:si>
  <x:si>
    <x:t xml:space="preserve">Wi-Fi works elsewhere; reconnecting the streaming device does not resolve issue.</x:t>
  </x:si>
  <x:si>
    <x:t xml:space="preserve">TC-013</x:t>
  </x:si>
  <x:si>
    <x:t xml:space="preserve">Buffering</x:t>
  </x:si>
  <x:si>
    <x:t xml:space="preserve">Wonderful! Clearing the line of sight always helps.</x:t>
  </x:si>
  <x:si>
    <x:t xml:space="preserve">Device is obstructed; moving it to an open area resolves buffering.</x:t>
  </x:si>
  <x:si>
    <x:t xml:space="preserve">TC-014</x:t>
  </x:si>
  <x:si>
    <x:t xml:space="preserve">Escalation: Creating a ticket and routing to Tier 2 Support to discuss a wi-fi range extender or ethernet adapter...</x:t>
  </x:si>
  <x:si>
    <x:t xml:space="preserve">Escalation: Creating a ticket and routing to Tier 2 Support to discuss a wi-fi range extender or ethernet adapter...
</x:t>
  </x:si>
  <x:si>
    <x:t xml:space="preserve">Device is obstructed; moving it does not resolve buffering.</x:t>
  </x:si>
  <x:si>
    <x:t xml:space="preserve">TC-015</x:t>
  </x:si>
  <x:si>
    <x:t xml:space="preserve">Awesome! Back to smooth streaming.</x:t>
  </x:si>
  <x:si>
    <x:t xml:space="preserve">Device is unobstructed; settings change or restart resolves buffering.</x:t>
  </x:si>
  <x:si>
    <x:t xml:space="preserve">TC-016</x:t>
  </x:si>
  <x:si>
    <x:t xml:space="preserve">Escalation: Creating ticket and connecting you to a Streaming Media Specialist now...</x:t>
  </x:si>
  <x:si>
    <x:t xml:space="preserve">Device is unobstructed; settings change or restart does not resolve buffering.</x:t>
  </x:si>
  <x:si>
    <x:t xml:space="preserve">TC-017</x:t>
  </x:si>
  <x:si>
    <x:t xml:space="preserve">Audio/Video</x:t>
  </x:si>
  <x:si>
    <x:t xml:space="preserve">Black or blank screen</x:t>
  </x:si>
  <x:si>
    <x:t xml:space="preserve">3</x:t>
  </x:si>
  <x:si>
    <x:t xml:space="preserve">Perfect! A loose HDMI connection is super common.</x:t>
  </x:si>
  <x:si>
    <x:t xml:space="preserve">HDMI was not secure or alternate port not tried; securing it resolves issue.</x:t>
  </x:si>
  <x:si>
    <x:t xml:space="preserve">TC-018</x:t>
  </x:si>
  <x:si>
    <x:t xml:space="preserve">Escalation: Creating a ticket and connecting you to our Hardware Team for deeper troubleshooting...</x:t>
  </x:si>
  <x:si>
    <x:t xml:space="preserve">Securing or swapping the HDMI port does not resolve issue.</x:t>
  </x:si>
  <x:si>
    <x:t xml:space="preserve">TC-019</x:t>
  </x:si>
  <x:si>
    <x:t xml:space="preserve">Awesome! Glad to see your screen is back!</x:t>
  </x:si>
  <x:si>
    <x:t xml:space="preserve">Awesome! Glad to see your screen is back!
</x:t>
  </x:si>
  <x:si>
    <x:t xml:space="preserve">HDMI was secure; changing cable or input resolves issue.</x:t>
  </x:si>
  <x:si>
    <x:t xml:space="preserve">TC-020</x:t>
  </x:si>
  <x:si>
    <x:t xml:space="preserve">Escalation: Creating a ticket and connecting you to our Hardware Team for video output failure...</x:t>
  </x:si>
  <x:si>
    <x:t xml:space="preserve">Changing the HDMI cable or TV input does not resolve issue.</x:t>
  </x:si>
  <x:si>
    <x:t xml:space="preserve">TC-021</x:t>
  </x:si>
  <x:si>
    <x:t xml:space="preserve">No sound</x:t>
  </x:si>
  <x:si>
    <x:t xml:space="preserve">Great! Simple fixes are the best fixes.</x:t>
  </x:si>
  <x:si>
    <x:t xml:space="preserve">TV or soundbar was muted or low; correcting volume resolves issue.</x:t>
  </x:si>
  <x:si>
    <x:t xml:space="preserve">TC-022</x:t>
  </x:si>
  <x:si>
    <x:t xml:space="preserve">Escalation: Creating a ticket and getting you connected to our Hardware Team...</x:t>
  </x:si>
  <x:si>
    <x:t xml:space="preserve">Correcting mute or volume does not resolve sound issue.</x:t>
  </x:si>
  <x:si>
    <x:t xml:space="preserve">TC-023</x:t>
  </x:si>
  <x:si>
    <x:t xml:space="preserve">Fantastic! Rock &amp; Roll!</x:t>
  </x:si>
  <x:si>
    <x:t xml:space="preserve">Volume was not the issue; changing audio output resolves sound issue.</x:t>
  </x:si>
  <x:si>
    <x:t xml:space="preserve">TC-024</x:t>
  </x:si>
  <x:si>
    <x:t xml:space="preserve">Escalation: Creating ticket and routing you to Tier 2 Support for audio hardware configuration...</x:t>
  </x:si>
  <x:si>
    <x:t xml:space="preserve">Changing audio output does not resolve sound issue.</x:t>
  </x:si>
  <x:si>
    <x:t xml:space="preserve">TC-025</x:t>
  </x:si>
  <x:si>
    <x:t xml:space="preserve">Remote</x:t>
  </x:si>
  <x:si>
    <x:t xml:space="preserve">Unresponsive remote</x:t>
  </x:si>
  <x:si>
    <x:t xml:space="preserve">4</x:t>
  </x:si>
  <x:si>
    <x:t xml:space="preserve">Awesome! Brand new batteries do the trick most of the time.</x:t>
  </x:si>
  <x:si>
    <x:t xml:space="preserve">Batteries were not freshly replaced; new batteries resolve issue.</x:t>
  </x:si>
  <x:si>
    <x:t xml:space="preserve">TC-026</x:t>
  </x:si>
  <x:si>
    <x:t xml:space="preserve">Escalation: Creating a ticket and connecting you to our Replacement Team to order a new remote...</x:t>
  </x:si>
  <x:si>
    <x:t xml:space="preserve">New batteries do not resolve remote responsiveness.</x:t>
  </x:si>
  <x:si>
    <x:t xml:space="preserve">TC-027</x:t>
  </x:si>
  <x:si>
    <x:t xml:space="preserve">Perfect! Your remote is re-paired and ready.</x:t>
  </x:si>
  <x:si>
    <x:t xml:space="preserve">Batteries were new; forcing a re-pair resolves issue.</x:t>
  </x:si>
  <x:si>
    <x:t xml:space="preserve">TC-028</x:t>
  </x:si>
  <x:si>
    <x:t xml:space="preserve">Escalation: Creating a ticket and routing to Hardware Tech to check for a faulty IR/Bluetooth receiver on the device.</x:t>
  </x:si>
  <x:si>
    <x:t xml:space="preserve">Forcing a re-pair does not resolve issue.</x:t>
  </x:si>
  <x:si>
    <x:t xml:space="preserve">TC-029</x:t>
  </x:si>
  <x:si>
    <x:t xml:space="preserve">Voice control</x:t>
  </x:si>
  <x:si>
    <x:t xml:space="preserve">Great! Voice features are officially online.</x:t>
  </x:si>
  <x:si>
    <x:t xml:space="preserve">Account or internet was unavailable; signing in or reconnecting resolves issue.</x:t>
  </x:si>
  <x:si>
    <x:t xml:space="preserve">TC-030</x:t>
  </x:si>
  <x:si>
    <x:t xml:space="preserve">Escalation: Creating a ticket and connecting you to Account Services to verify your profile settings...</x:t>
  </x:si>
  <x:si>
    <x:t xml:space="preserve">Signing in or reconnecting does not resolve voice control.</x:t>
  </x:si>
  <x:si>
    <x:t xml:space="preserve">TC-031</x:t>
  </x:si>
  <x:si>
    <x:t xml:space="preserve">Fantastic! Your microphone is working flawlessly now.</x:t>
  </x:si>
  <x:si>
    <x:t xml:space="preserve">Account and internet are valid; unpairing and re-pairing resolves issue.</x:t>
  </x:si>
  <x:si>
    <x:t xml:space="preserve">TC-032</x:t>
  </x:si>
  <x:si>
    <x:t xml:space="preserve">Escalating: Creating a ticket and transferring to Tier 2 Support to check for a corrupted update...</x:t>
  </x:si>
  <x:si>
    <x:t xml:space="preserve">Escalating: Creating a ticket and transferring to Tier 2 Support to check for a corrupted update...
</x:t>
  </x:si>
  <x:si>
    <x:t xml:space="preserve">Unpairing and re-pairing does not resolve voice control.</x:t>
  </x:si>
  <x:si>
    <x:t xml:space="preserve">TC-033</x:t>
  </x:si>
  <x:si>
    <x:t xml:space="preserve">Invalid input</x:t>
  </x:si>
  <x:si>
    <x:t xml:space="preserve">Main menu</x:t>
  </x:si>
  <x:si>
    <x:t xml:space="preserve">Out-of-range selection</x:t>
  </x:si>
  <x:si>
    <x:t xml:space="preserve">5</x:t>
  </x:si>
  <x:si>
    <x:t xml:space="preserve">Invalid choice. Please enter a number between 1 and 4.</x:t>
  </x:si>
  <x:si>
    <x:t xml:space="preserve">Invalid choice. Please enter a number between 1 and 4.
An exception has occurred, use %tb to see the full traceback.
SystemExit
/usr/local/lib/python3.13/dist-packages/IPython/core/interactiveshell.py:3561: UserWarning: To exit: use 'exit', 'quit', or Ctrl-D.
  warn("To exit: use 'exit', 'quit', or Ctrl-D.", stacklevel=1)</x:t>
  </x:si>
  <x:si>
    <x:t xml:space="preserve">Verify the invalid choice message appears and the program exits.</x:t>
  </x:si>
  <x:si>
    <x:t xml:space="preserve">TC-034</x:t>
  </x:si>
  <x:si>
    <x:t xml:space="preserve">Robustness</x:t>
  </x:si>
  <x:si>
    <x:t xml:space="preserve">Extra spaces</x:t>
  </x:si>
  <x:si>
    <x:t xml:space="preserve"> 1 </x:t>
  </x:si>
  <x:si>
    <x:t xml:space="preserve">The program should trim spaces and route to Power.</x:t>
  </x:si>
  <x:si>
    <x:t xml:space="preserve">Invalid choice. Please enter a number between 1 and 4. plus the SystemExit notice</x:t>
  </x:si>
  <x:si>
    <x:t xml:space="preserve">Retest passed after adding .strip() to the main-menu input so extra spaces are removed before routing.</x:t>
  </x:si>
  <x:si>
    <x:t xml:space="preserve">TC-035</x:t>
  </x:si>
  <x:si>
    <x:t xml:space="preserve">Invalid symptom</x:t>
  </x:si>
  <x:si>
    <x:t xml:space="preserve">Invalid choice for power troubleshooting. Please restart.</x:t>
  </x:si>
  <x:si>
    <x:t xml:space="preserve">Invalid choice for power troubleshooting. Please restart.
</x:t>
  </x:si>
  <x:si>
    <x:t xml:space="preserve">Confirm the program displays the message and ends.</x:t>
  </x:si>
  <x:si>
    <x:t xml:space="preserve">TC-036</x:t>
  </x:si>
  <x:si>
    <x:t xml:space="preserve">Invalid option. Redirecting you back to the main network settings menu.</x:t>
  </x:si>
  <x:si>
    <x:t xml:space="preserve">Invalid option. Redirecting you back to the main network settings menu.
</x:t>
  </x:si>
  <x:si>
    <x:t xml:space="preserve">Confirm whether it actually redirects or only prints the message and ends.</x:t>
  </x:si>
  <x:si>
    <x:t xml:space="preserve">TC-037</x:t>
  </x:si>
  <x:si>
    <x:t xml:space="preserve">Invalid option. Redirecting you back to the main audio/video menu.</x:t>
  </x:si>
  <x:si>
    <x:t xml:space="preserve">TC-038</x:t>
  </x:si>
  <x:si>
    <x:t xml:space="preserve">Invalid option. Redirecting you back to the main remote menu.</x:t>
  </x:si>
  <x:si>
    <x:t xml:space="preserve">TC-039</x:t>
  </x:si>
  <x:si>
    <x:t xml:space="preserve">Uppercase yes</x:t>
  </x:si>
  <x:si>
    <x:t xml:space="preserve">YES</x:t>
  </x:si>
  <x:si>
    <x:t xml:space="preserve">The program should interpret YES as yes and follow the status-light-visible path.</x:t>
  </x:si>
  <x:si>
    <x:t xml:space="preserve">Retest passed after get_yes_no() normalized the response with .strip().lower(), allowing uppercase YES.</x:t>
  </x:si>
  <x:si>
    <x:t xml:space="preserve">TC-040</x:t>
  </x:si>
  <x:si>
    <x:t xml:space="preserve">Invalid resolved response</x:t>
  </x:si>
  <x:si>
    <x:t xml:space="preserve">maybe</x:t>
  </x:si>
  <x:si>
    <x:t xml:space="preserve">The program should reject the response and ask for yes or no again.</x:t>
  </x:si>
  <x:si>
    <x:t xml:space="preserve">Retest passed after get_yes_no() rejected invalid responses and repeated the prompt until yes or no was entered.</x:t>
  </x:si>
  <x:si>
    <x:t xml:space="preserve">0</x:t>
  </x:si>
  <x:si>
    <x:t xml:space="preserve">GEEK Streaming Support: Flowchart Validation Checklist</x:t>
  </x:si>
  <x:si>
    <x:t xml:space="preserve">Use this tab to review the original Version 1 flowcharts against the Python notebook. Mark each item after visually tracing the chart.</x:t>
  </x:si>
  <x:si>
    <x:t xml:space="preserve">This is a validation review, not a redesign. Record corrections in Notes and use the Defect &amp; Retest Log when follow-up is required.</x:t>
  </x:si>
  <x:si>
    <x:t xml:space="preserve">Total Checks</x:t>
  </x:si>
  <x:si>
    <x:t xml:space="preserve">Needs Update</x:t>
  </x:si>
  <x:si>
    <x:t xml:space="preserve">Not Reviewed</x:t>
  </x:si>
  <x:si>
    <x:t xml:space="preserve">Check ID</x:t>
  </x:si>
  <x:si>
    <x:t xml:space="preserve">Scope</x:t>
  </x:si>
  <x:si>
    <x:t xml:space="preserve">Validation Check</x:t>
  </x:si>
  <x:si>
    <x:t xml:space="preserve">Expected Standard</x:t>
  </x:si>
  <x:si>
    <x:t xml:space="preserve">Evidence / Location</x:t>
  </x:si>
  <x:si>
    <x:t xml:space="preserve">Notes</x:t>
  </x:si>
  <x:si>
    <x:t xml:space="preserve">Review Date</x:t>
  </x:si>
  <x:si>
    <x:t xml:space="preserve">FC-001</x:t>
  </x:si>
  <x:si>
    <x:t xml:space="preserve">All charts</x:t>
  </x:si>
  <x:si>
    <x:t xml:space="preserve">Four category flowcharts are included</x:t>
  </x:si>
  <x:si>
    <x:t xml:space="preserve">Power, Connection, Audio/Video, and Remote charts are present.</x:t>
  </x:si>
  <x:si>
    <x:t xml:space="preserve">All four category charts</x:t>
  </x:si>
  <x:si>
    <x:t xml:space="preserve">FC-002</x:t>
  </x:si>
  <x:si>
    <x:t xml:space="preserve">Each chart clearly identifies its category</x:t>
  </x:si>
  <x:si>
    <x:t xml:space="preserve">The title or starting decision names the correct category.</x:t>
  </x:si>
  <x:si>
    <x:t xml:space="preserve">FC-003</x:t>
  </x:si>
  <x:si>
    <x:t xml:space="preserve">Each category contains two issue branches</x:t>
  </x:si>
  <x:si>
    <x:t xml:space="preserve">Both issue options shown in the Python notebook appear.</x:t>
  </x:si>
  <x:si>
    <x:t xml:space="preserve">FC-004</x:t>
  </x:si>
  <x:si>
    <x:t xml:space="preserve">Diagnostic decisions show both Yes and No routes</x:t>
  </x:si>
  <x:si>
    <x:t xml:space="preserve">Each diagnostic question visibly branches in both directions.</x:t>
  </x:si>
  <x:si>
    <x:t xml:space="preserve">FC-005</x:t>
  </x:si>
  <x:si>
    <x:t xml:space="preserve">Every diagnostic route leads to a troubleshooting action</x:t>
  </x:si>
  <x:si>
    <x:t xml:space="preserve">No Yes or No branch stops before an action.</x:t>
  </x:si>
  <x:si>
    <x:t xml:space="preserve">FC-006</x:t>
  </x:si>
  <x:si>
    <x:t xml:space="preserve">Every troubleshooting action leads to a resolution check</x:t>
  </x:si>
  <x:si>
    <x:t xml:space="preserve">Each action is followed by a question confirming whether the issue was fixed.</x:t>
  </x:si>
  <x:si>
    <x:t xml:space="preserve">FC-007</x:t>
  </x:si>
  <x:si>
    <x:t xml:space="preserve">Every resolution check has success and escalation routes</x:t>
  </x:si>
  <x:si>
    <x:t xml:space="preserve">Yes reaches success and No reaches escalation.</x:t>
  </x:si>
  <x:si>
    <x:t xml:space="preserve">FC-008</x:t>
  </x:si>
  <x:si>
    <x:t xml:space="preserve">Success and escalation endings are visually distinct</x:t>
  </x:si>
  <x:si>
    <x:t xml:space="preserve">Outcome colors and labels make the ending immediately clear.</x:t>
  </x:si>
  <x:si>
    <x:t xml:space="preserve">FC-009</x:t>
  </x:si>
  <x:si>
    <x:t xml:space="preserve">No nodes or arrows are disconnected</x:t>
  </x:si>
  <x:si>
    <x:t xml:space="preserve">Every shape belongs to a complete start-to-finish route.</x:t>
  </x:si>
  <x:si>
    <x:t xml:space="preserve">FC-010</x:t>
  </x:si>
  <x:si>
    <x:t xml:space="preserve">Arrow labels are readable and correctly positioned</x:t>
  </x:si>
  <x:si>
    <x:t xml:space="preserve">Yes and No labels do not overlap arrows, shapes, or other text.</x:t>
  </x:si>
  <x:si>
    <x:t xml:space="preserve">FC-011</x:t>
  </x:si>
  <x:si>
    <x:t xml:space="preserve">Spelling, capitalization, and terminology are consistent</x:t>
  </x:si>
  <x:si>
    <x:t xml:space="preserve">Repeated terms use the same wording throughout.</x:t>
  </x:si>
  <x:si>
    <x:t xml:space="preserve">FC-012</x:t>
  </x:si>
  <x:si>
    <x:t xml:space="preserve">All 32 valid paths can be traced</x:t>
  </x:si>
  <x:si>
    <x:t xml:space="preserve">Each chart supports 8 complete routes: 4 diagnostic/fix routes ending in success or escalation.</x:t>
  </x:si>
  <x:si>
    <x:t xml:space="preserve">FC-013</x:t>
  </x:si>
  <x:si>
    <x:t xml:space="preserve">Issue branches match the notebook</x:t>
  </x:si>
  <x:si>
    <x:t xml:space="preserve">Won't Turn On and Keeps Restarting are both included.</x:t>
  </x:si>
  <x:si>
    <x:t xml:space="preserve">Power-Flow.png</x:t>
  </x:si>
  <x:si>
    <x:t xml:space="preserve">FC-014</x:t>
  </x:si>
  <x:si>
    <x:t xml:space="preserve">Diagnostic questions match the notebook</x:t>
  </x:si>
  <x:si>
    <x:t xml:space="preserve">Status-light and direct-wall-power questions are represented correctly.</x:t>
  </x:si>
  <x:si>
    <x:t xml:space="preserve">FC-015</x:t>
  </x:si>
  <x:si>
    <x:t xml:space="preserve">Troubleshooting actions match the notebook</x:t>
  </x:si>
  <x:si>
    <x:t xml:space="preserve">HDMI/input, cable, wall-outlet, and 60-second power-cycle steps are present.</x:t>
  </x:si>
  <x:si>
    <x:t xml:space="preserve">FC-016</x:t>
  </x:si>
  <x:si>
    <x:t xml:space="preserve">Power outcomes are complete</x:t>
  </x:si>
  <x:si>
    <x:t xml:space="preserve">Four success routes and four escalation routes can be traced.</x:t>
  </x:si>
  <x:si>
    <x:t xml:space="preserve">FC-017</x:t>
  </x:si>
  <x:si>
    <x:t xml:space="preserve">No Internet Error and Buffering are both included.</x:t>
  </x:si>
  <x:si>
    <x:t xml:space="preserve">Connection-Flow.png</x:t>
  </x:si>
  <x:si>
    <x:t xml:space="preserve">FC-018</x:t>
  </x:si>
  <x:si>
    <x:t xml:space="preserve">Other-device connectivity and device-placement questions are represented correctly.</x:t>
  </x:si>
  <x:si>
    <x:t xml:space="preserve">FC-019</x:t>
  </x:si>
  <x:si>
    <x:t xml:space="preserve">Router restart, Wi-Fi reconnect, relocation, and settings/restart steps are present.</x:t>
  </x:si>
  <x:si>
    <x:t xml:space="preserve">FC-020</x:t>
  </x:si>
  <x:si>
    <x:t xml:space="preserve">Connection outcomes are complete</x:t>
  </x:si>
  <x:si>
    <x:t xml:space="preserve">FC-021</x:t>
  </x:si>
  <x:si>
    <x:t xml:space="preserve">Black/Blank Screen and No Sound are both included.</x:t>
  </x:si>
  <x:si>
    <x:t xml:space="preserve">Audio.Video-Flow.png</x:t>
  </x:si>
  <x:si>
    <x:t xml:space="preserve">FC-022</x:t>
  </x:si>
  <x:si>
    <x:t xml:space="preserve">HDMI connection and mute/volume questions are represented correctly.</x:t>
  </x:si>
  <x:si>
    <x:t xml:space="preserve">FC-023</x:t>
  </x:si>
  <x:si>
    <x:t xml:space="preserve">HDMI port/cable, input source, volume, and audio-output steps are present.</x:t>
  </x:si>
  <x:si>
    <x:t xml:space="preserve">FC-024</x:t>
  </x:si>
  <x:si>
    <x:t xml:space="preserve">Audio/Video outcomes are complete</x:t>
  </x:si>
  <x:si>
    <x:t xml:space="preserve">FC-025</x:t>
  </x:si>
  <x:si>
    <x:t xml:space="preserve">Remote Unresponsive and Voice Control Issues are both included.</x:t>
  </x:si>
  <x:si>
    <x:t xml:space="preserve">Remote-Flow.png</x:t>
  </x:si>
  <x:si>
    <x:t xml:space="preserve">FC-026</x:t>
  </x:si>
  <x:si>
    <x:t xml:space="preserve">Fresh-battery and account/internet questions are represented correctly.</x:t>
  </x:si>
  <x:si>
    <x:t xml:space="preserve">FC-027</x:t>
  </x:si>
  <x:si>
    <x:t xml:space="preserve">Battery replacement, re-pairing, sign-in, and full unpair/re-pair steps are present.</x:t>
  </x:si>
  <x:si>
    <x:t xml:space="preserve">FC-028</x:t>
  </x:si>
  <x:si>
    <x:t xml:space="preserve">Remote outcomes are complete</x:t>
  </x:si>
  <x:si>
    <x:t xml:space="preserve">GEEK Streaming Support: Landbot User Acceptance Testing</x:t>
  </x:si>
  <x:si>
    <x:t xml:space="preserve">Run each test in the published Landbot. Record what happened, choose a status, and add a timestamp or screenshot reference when useful.</x:t>
  </x:si>
  <x:si>
    <x:t xml:space="preserve">This log covers all core routes and shared features. The screen recording only needs representative tests, not every row.</x:t>
  </x:si>
  <x:si>
    <x:t xml:space="preserve">Test Area</x:t>
  </x:si>
  <x:si>
    <x:t xml:space="preserve">Scenario / Route</x:t>
  </x:si>
  <x:si>
    <x:t xml:space="preserve">User Selections / Action</x:t>
  </x:si>
  <x:si>
    <x:t xml:space="preserve">Expected Result</x:t>
  </x:si>
  <x:si>
    <x:t xml:space="preserve">Actual Result</x:t>
  </x:si>
  <x:si>
    <x:t xml:space="preserve">Evidence / Timestamp</x:t>
  </x:si>
  <x:si>
    <x:t xml:space="preserve">LB-001</x:t>
  </x:si>
  <x:si>
    <x:t xml:space="preserve">Core routing</x:t>
  </x:si>
  <x:si>
    <x:t xml:space="preserve">Status light visible? Yes; complete: Switch TV input / check HDMI connection; resolved? Yes</x:t>
  </x:si>
  <x:si>
    <x:t xml:space="preserve">Correct success message appears, then the More Help prompt.</x:t>
  </x:si>
  <x:si>
    <x:t xml:space="preserve">Correct success message appears, followed by the More Help prompt.</x:t>
  </x:si>
  <x:si>
    <x:t xml:space="preserve">LB-002</x:t>
  </x:si>
  <x:si>
    <x:t xml:space="preserve">Status light visible? Yes; complete: Switch TV input / check HDMI connection; resolved? No</x:t>
  </x:si>
  <x:si>
    <x:t xml:space="preserve">Correct unresolved message appears and the support-request form opens.</x:t>
  </x:si>
  <x:si>
    <x:t xml:space="preserve">Correct unresolved message appears followed by the support-request form opens.</x:t>
  </x:si>
  <x:si>
    <x:t xml:space="preserve">LB-003</x:t>
  </x:si>
  <x:si>
    <x:t xml:space="preserve">Status light visible? No; complete: Secure power cable at wall and device; resolved? Yes</x:t>
  </x:si>
  <x:si>
    <x:t xml:space="preserve">LB-004</x:t>
  </x:si>
  <x:si>
    <x:t xml:space="preserve">Status light visible? No; complete: Secure power cable at wall and device; resolved? No</x:t>
  </x:si>
  <x:si>
    <x:t xml:space="preserve">LB-005</x:t>
  </x:si>
  <x:si>
    <x:t xml:space="preserve">Plugged directly into a wall outlet? Yes; complete: Unplug for 60 seconds and reconnect; resolved? Yes</x:t>
  </x:si>
  <x:si>
    <x:t xml:space="preserve">LB-006</x:t>
  </x:si>
  <x:si>
    <x:t xml:space="preserve">Plugged directly into a wall outlet? Yes; complete: Unplug for 60 seconds and reconnect; resolved? No</x:t>
  </x:si>
  <x:si>
    <x:t xml:space="preserve">LB-007</x:t>
  </x:si>
  <x:si>
    <x:t xml:space="preserve">Plugged directly into a wall outlet? No; complete: Move power from TV USB to wall outlet; resolved? Yes</x:t>
  </x:si>
  <x:si>
    <x:t xml:space="preserve">LB-008</x:t>
  </x:si>
  <x:si>
    <x:t xml:space="preserve">Plugged directly into a wall outlet? No; complete: Move power from TV USB to wall outlet; resolved? No</x:t>
  </x:si>
  <x:si>
    <x:t xml:space="preserve">LB-009</x:t>
  </x:si>
  <x:si>
    <x:t xml:space="preserve">No internet error</x:t>
  </x:si>
  <x:si>
    <x:t xml:space="preserve">Wi-Fi working on other devices? Yes; complete: Forget and reconnect to Wi-Fi; resolved? Yes</x:t>
  </x:si>
  <x:si>
    <x:t xml:space="preserve">LB-010</x:t>
  </x:si>
  <x:si>
    <x:t xml:space="preserve">Wi-Fi working on other devices? Yes; complete: Forget and reconnect to Wi-Fi; resolved? No</x:t>
  </x:si>
  <x:si>
    <x:t xml:space="preserve">LB-011</x:t>
  </x:si>
  <x:si>
    <x:t xml:space="preserve">Wi-Fi working on other devices? No; complete: Restart router for 30 seconds; resolved? Yes</x:t>
  </x:si>
  <x:si>
    <x:t xml:space="preserve">LB-012</x:t>
  </x:si>
  <x:si>
    <x:t xml:space="preserve">Wi-Fi working on other devices? No; complete: Restart router for 30 seconds; resolved? No</x:t>
  </x:si>
  <x:si>
    <x:t xml:space="preserve">LB-013</x:t>
  </x:si>
  <x:si>
    <x:t xml:space="preserve">Device hidden or behind a heavy TV? Yes; complete: Move device to an open area; resolved? Yes</x:t>
  </x:si>
  <x:si>
    <x:t xml:space="preserve">LB-014</x:t>
  </x:si>
  <x:si>
    <x:t xml:space="preserve">Device hidden or behind a heavy TV? Yes; complete: Move device to an open area; resolved? No</x:t>
  </x:si>
  <x:si>
    <x:t xml:space="preserve">LB-015</x:t>
  </x:si>
  <x:si>
    <x:t xml:space="preserve">Device hidden or behind a heavy TV? No; complete: Lower video quality / restart device; resolved? Yes</x:t>
  </x:si>
  <x:si>
    <x:t xml:space="preserve">LB-016</x:t>
  </x:si>
  <x:si>
    <x:t xml:space="preserve">Device hidden or behind a heavy TV? No; complete: Lower video quality / restart device; resolved? No</x:t>
  </x:si>
  <x:si>
    <x:t xml:space="preserve">LB-017</x:t>
  </x:si>
  <x:si>
    <x:t xml:space="preserve">HDMI secured or another port tried? Yes; complete: Try a different HDMI cable and input; resolved? Yes</x:t>
  </x:si>
  <x:si>
    <x:t xml:space="preserve">LB-018</x:t>
  </x:si>
  <x:si>
    <x:t xml:space="preserve">HDMI secured or another port tried? Yes; complete: Try a different HDMI cable and input; resolved? No</x:t>
  </x:si>
  <x:si>
    <x:t xml:space="preserve">LB-019</x:t>
  </x:si>
  <x:si>
    <x:t xml:space="preserve">HDMI secured or another port tried? No; complete: Secure HDMI and try another port; resolved? Yes</x:t>
  </x:si>
  <x:si>
    <x:t xml:space="preserve">LB-020</x:t>
  </x:si>
  <x:si>
    <x:t xml:space="preserve">HDMI secured or another port tried? No; complete: Secure HDMI and try another port; resolved? No</x:t>
  </x:si>
  <x:si>
    <x:t xml:space="preserve">LB-021</x:t>
  </x:si>
  <x:si>
    <x:t xml:space="preserve">TV/soundbar muted or volume below 5? Yes; complete: Unmute and raise volume to 15; resolved? Yes</x:t>
  </x:si>
  <x:si>
    <x:t xml:space="preserve">LB-022</x:t>
  </x:si>
  <x:si>
    <x:t xml:space="preserve">TV/soundbar muted or volume below 5? Yes; complete: Unmute and raise volume to 15; resolved? No</x:t>
  </x:si>
  <x:si>
    <x:t xml:space="preserve">LB-023</x:t>
  </x:si>
  <x:si>
    <x:t xml:space="preserve">TV/soundbar muted or volume below 5? No; complete: Change audio output to Stereo or Auto; resolved? Yes</x:t>
  </x:si>
  <x:si>
    <x:t xml:space="preserve">LB-024</x:t>
  </x:si>
  <x:si>
    <x:t xml:space="preserve">TV/soundbar muted or volume below 5? No; complete: Change audio output to Stereo or Auto; resolved? No</x:t>
  </x:si>
  <x:si>
    <x:t xml:space="preserve">LB-025</x:t>
  </x:si>
  <x:si>
    <x:t xml:space="preserve">Remote unresponsive</x:t>
  </x:si>
  <x:si>
    <x:t xml:space="preserve">Fresh batteries installed? Yes; complete: Force re-pair near the streaming device; resolved? Yes</x:t>
  </x:si>
  <x:si>
    <x:t xml:space="preserve">LB-026</x:t>
  </x:si>
  <x:si>
    <x:t xml:space="preserve">Fresh batteries installed? Yes; complete: Force re-pair near the streaming device; resolved? No</x:t>
  </x:si>
  <x:si>
    <x:t xml:space="preserve">LB-027</x:t>
  </x:si>
  <x:si>
    <x:t xml:space="preserve">Fresh batteries installed? No; complete: Replace batteries and drain leftover power; resolved? Yes</x:t>
  </x:si>
  <x:si>
    <x:t xml:space="preserve">LB-028</x:t>
  </x:si>
  <x:si>
    <x:t xml:space="preserve">Fresh batteries installed? No; complete: Replace batteries and drain leftover power; resolved? No</x:t>
  </x:si>
  <x:si>
    <x:t xml:space="preserve">LB-029</x:t>
  </x:si>
  <x:si>
    <x:t xml:space="preserve">Voice control not working</x:t>
  </x:si>
  <x:si>
    <x:t xml:space="preserve">Connected to internet and signed in? Yes; complete: Unpair, restart device, and re-pair; resolved? Yes</x:t>
  </x:si>
  <x:si>
    <x:t xml:space="preserve">LB-030</x:t>
  </x:si>
  <x:si>
    <x:t xml:space="preserve">Connected to internet and signed in? Yes; complete: Unpair, restart device, and re-pair; resolved? No</x:t>
  </x:si>
  <x:si>
    <x:t xml:space="preserve">LB-031</x:t>
  </x:si>
  <x:si>
    <x:t xml:space="preserve">Connected to internet and signed in? No; complete: Connect to Wi-Fi and sign in; resolved? Yes</x:t>
  </x:si>
  <x:si>
    <x:t xml:space="preserve">LB-032</x:t>
  </x:si>
  <x:si>
    <x:t xml:space="preserve">Connected to internet and signed in? No; complete: Connect to Wi-Fi and sign in; resolved? No</x:t>
  </x:si>
  <x:si>
    <x:t xml:space="preserve">LB-033</x:t>
  </x:si>
  <x:si>
    <x:t xml:space="preserve">Navigation</x:t>
  </x:si>
  <x:si>
    <x:t xml:space="preserve">All categories</x:t>
  </x:si>
  <x:si>
    <x:t xml:space="preserve">Open a fresh published conversation</x:t>
  </x:si>
  <x:si>
    <x:t xml:space="preserve">Four choices appear: Power, Connection, Audio/Video, and Remote.</x:t>
  </x:si>
  <x:si>
    <x:t xml:space="preserve">All four choices appeared</x:t>
  </x:si>
  <x:si>
    <x:t xml:space="preserve">LB-034</x:t>
  </x:si>
  <x:si>
    <x:t xml:space="preserve">Success ending</x:t>
  </x:si>
  <x:si>
    <x:t xml:space="preserve">More Help: Yes</x:t>
  </x:si>
  <x:si>
    <x:t xml:space="preserve">Complete a success route and select Yes</x:t>
  </x:si>
  <x:si>
    <x:t xml:space="preserve">Bot returns to the main menu and allows another issue selection.</x:t>
  </x:si>
  <x:si>
    <x:t xml:space="preserve">Bot returns to the main menu</x:t>
  </x:si>
  <x:si>
    <x:t xml:space="preserve">LB-035</x:t>
  </x:si>
  <x:si>
    <x:t xml:space="preserve">More Help: No</x:t>
  </x:si>
  <x:si>
    <x:t xml:space="preserve">Complete a success route and select No</x:t>
  </x:si>
  <x:si>
    <x:t xml:space="preserve">Bot displays the final closing message without restarting unexpectedly.</x:t>
  </x:si>
  <x:si>
    <x:t xml:space="preserve">Closing message displayed </x:t>
  </x:si>
  <x:si>
    <x:t xml:space="preserve">LB-036</x:t>
  </x:si>
  <x:si>
    <x:t xml:space="preserve">Form validation</x:t>
  </x:si>
  <x:si>
    <x:t xml:space="preserve">Escalation</x:t>
  </x:si>
  <x:si>
    <x:t xml:space="preserve">Required fields</x:t>
  </x:si>
  <x:si>
    <x:t xml:space="preserve">Open the support-request form and submit it empty</x:t>
  </x:si>
  <x:si>
    <x:t xml:space="preserve">Required fields prevent submission and identify what is missing.</x:t>
  </x:si>
  <x:si>
    <x:t xml:space="preserve">It did not allow submission</x:t>
  </x:si>
  <x:si>
    <x:t xml:space="preserve">LB-037</x:t>
  </x:si>
  <x:si>
    <x:t xml:space="preserve">Email validation</x:t>
  </x:si>
  <x:si>
    <x:t xml:space="preserve">Enter an incorrectly formatted email address</x:t>
  </x:si>
  <x:si>
    <x:t xml:space="preserve">The form rejects the invalid email and requests a valid format.</x:t>
  </x:si>
  <x:si>
    <x:t xml:space="preserve">Invalid email was rejected</x:t>
  </x:si>
  <x:si>
    <x:t xml:space="preserve">LB-038</x:t>
  </x:si>
  <x:si>
    <x:t xml:space="preserve">Personalization</x:t>
  </x:si>
  <x:si>
    <x:t xml:space="preserve">Saved fields</x:t>
  </x:si>
  <x:si>
    <x:t xml:space="preserve">Submit valid sample name, email, device, issue, and permission</x:t>
  </x:si>
  <x:si>
    <x:t xml:space="preserve">Confirmation displays the saved information and uses the person's name correctly.</x:t>
  </x:si>
  <x:si>
    <x:t xml:space="preserve">Confirmation is displayed with the person's name</x:t>
  </x:si>
  <x:si>
    <x:t xml:space="preserve">LB-039</x:t>
  </x:si>
  <x:si>
    <x:t xml:space="preserve">Contact permission</x:t>
  </x:si>
  <x:si>
    <x:t xml:space="preserve">Test both Yes and No selections</x:t>
  </x:si>
  <x:si>
    <x:t xml:space="preserve">Either permission choice saves correctly and does not break submission.</x:t>
  </x:si>
  <x:si>
    <x:t xml:space="preserve">Confirmation displayed with both selectioins</x:t>
  </x:si>
  <x:si>
    <x:t xml:space="preserve">LB-040</x:t>
  </x:si>
  <x:si>
    <x:t xml:space="preserve">Published experience</x:t>
  </x:si>
  <x:si>
    <x:t xml:space="preserve">Fresh session</x:t>
  </x:si>
  <x:si>
    <x:t xml:space="preserve">Published link and reset</x:t>
  </x:si>
  <x:si>
    <x:t xml:space="preserve">Open the published link in a private/incognito window</x:t>
  </x:si>
  <x:si>
    <x:t xml:space="preserve">The bot loads correctly and starts at the intended beginning.</x:t>
  </x:si>
  <x:si>
    <x:t xml:space="preserve">Bot loads correctly and starts at the beginning</x:t>
  </x:si>
  <x:si>
    <x:t xml:space="preserve">GEEK Streaming Support: Defect &amp; Retest Log</x:t>
  </x:si>
  <x:si>
    <x:t xml:space="preserve">Only add an entry when a Python, flowchart, or Landbot test reveals an issue. Document the correction and retest result so the progression is visible.</x:t>
  </x:si>
  <x:si>
    <x:t xml:space="preserve">Total Defects</x:t>
  </x:si>
  <x:si>
    <x:t xml:space="preserve">Open / In Progress</x:t>
  </x:si>
  <x:si>
    <x:t xml:space="preserve">Ready to Retest</x:t>
  </x:si>
  <x:si>
    <x:t xml:space="preserve">Closed / Passed</x:t>
  </x:si>
  <x:si>
    <x:t xml:space="preserve">Defect ID</x:t>
  </x:si>
  <x:si>
    <x:t xml:space="preserve">Related Test ID</x:t>
  </x:si>
  <x:si>
    <x:t xml:space="preserve">Found In</x:t>
  </x:si>
  <x:si>
    <x:t xml:space="preserve">Date Found</x:t>
  </x:si>
  <x:si>
    <x:t xml:space="preserve">What Happened</x:t>
  </x:si>
  <x:si>
    <x:t xml:space="preserve">Expected Behavior</x:t>
  </x:si>
  <x:si>
    <x:t xml:space="preserve">Fix Applied</x:t>
  </x:si>
  <x:si>
    <x:t xml:space="preserve">Date Retested</x:t>
  </x:si>
  <x:si>
    <x:t xml:space="preserve">Evidence / Notes</x:t>
  </x:si>
  <x:si>
    <x:t xml:space="preserve">DEF-001</x:t>
  </x:si>
  <x:si>
    <x:t xml:space="preserve">TC-034 and TC-039</x:t>
  </x:si>
  <x:si>
    <x:t xml:space="preserve">Python</x:t>
  </x:si>
  <x:si>
    <x:t xml:space="preserve">Input formatting was not normalized. Extra spaces caused the main-menu choice to be rejected, and uppercase YES followed the wrong diagnostic path.</x:t>
  </x:si>
  <x:si>
    <x:t xml:space="preserve">Trim whitespace from menu selections and interpret yes/no responses regardless of capitalization.</x:t>
  </x:si>
  <x:si>
    <x:t xml:space="preserve">Added .strip() to the main-menu input and created get_yes_no(), which applies .strip().lower() before validating the response.</x:t>
  </x:si>
  <x:si>
    <x:t xml:space="preserve">Retest Passed</x:t>
  </x:si>
  <x:si>
    <x:t xml:space="preserve">TC-034 and TC-039 passed after the updated code was rerun in Google Colab.</x:t>
  </x:si>
  <x:si>
    <x:t xml:space="preserve">DEF-002</x:t>
  </x:si>
  <x:si>
    <x:t xml:space="preserve">An invalid yes/no response such as “maybe” was treated as a successful resolution.</x:t>
  </x:si>
  <x:si>
    <x:t xml:space="preserve">Reject responses other than yes or no and repeat the question until a valid answer is entered.</x:t>
  </x:si>
  <x:si>
    <x:t xml:space="preserve">Used get_yes_no() with a validation loop that displays “Please enter yes or no.” and asks again.</x:t>
  </x:si>
  <x:si>
    <x:t xml:space="preserve">TC-040 passed after Colab rejected the invalid response and prompted again for yes or no.</x:t>
  </x:si>
</x:sst>
</file>

<file path=xl/styles.xml><?xml version="1.0" encoding="utf-8"?>
<x:styleSheet xmlns:x="http://schemas.openxmlformats.org/spreadsheetml/2006/main">
  <x:numFmts count="3">
    <x:numFmt numFmtId="164" formatCode="m/d/yyyy"/>
    <x:numFmt numFmtId="165" formatCode="h:mm am/pm"/>
    <x:numFmt numFmtId="166" formatCode="M/d/yyyy"/>
  </x:numFmts>
  <x:fonts count="14">
    <x:font>
      <x:sz val="11"/>
      <x:color rgb="FF000000"/>
      <x:name val="Carlito"/>
      <x:scheme val="minor"/>
    </x:font>
    <x:font>
      <x:sz val="10"/>
      <x:color rgb="FF2A3749"/>
      <x:name val="Arial"/>
    </x:font>
    <x:font>
      <x:b/>
      <x:sz val="15"/>
      <x:color rgb="FF2A3749"/>
      <x:name val="Arial"/>
    </x:font>
    <x:font/>
    <x:font>
      <x:i/>
      <x:sz val="10"/>
      <x:color rgb="FF2A3749"/>
      <x:name val="Arial"/>
    </x:font>
    <x:font>
      <x:i/>
      <x:sz val="10"/>
      <x:color rgb="FF57571F"/>
      <x:name val="Arial"/>
    </x:font>
    <x:font>
      <x:b/>
      <x:sz val="10"/>
      <x:color rgb="FFFFFFFF"/>
      <x:name val="Arial"/>
    </x:font>
    <x:font>
      <x:b/>
      <x:sz val="11"/>
      <x:color rgb="FF2A3749"/>
      <x:name val="Arial"/>
    </x:font>
    <x:font>
      <x:sz val="10"/>
      <x:color rgb="FF6AA84F"/>
      <x:name val="Arial"/>
    </x:font>
    <x:font>
      <x:b/>
      <x:sz val="10"/>
      <x:color rgb="FF6D6C2C"/>
      <x:name val="Arial"/>
    </x:font>
    <x:font>
      <x:sz val="9"/>
      <x:color rgb="FF2A3749"/>
      <x:name val="Arial"/>
    </x:font>
    <x:font>
      <x:b/>
      <x:sz val="12"/>
      <x:color rgb="FF2A3749"/>
      <x:name val="Arial"/>
    </x:font>
    <x:font>
      <x:sz val="10"/>
      <x:color theme="9"/>
      <x:name val="Arial"/>
    </x:font>
    <x:font>
      <x:sz val="10"/>
      <x:color rgb="FFFF0000"/>
      <x:name val="Arial"/>
    </x:font>
  </x:fonts>
  <x:fills count="9">
    <x:fill>
      <x:patternFill patternType="none"/>
    </x:fill>
    <x:fill>
      <x:patternFill patternType="lightGray"/>
    </x:fill>
    <x:fill>
      <x:patternFill patternType="solid">
        <x:fgColor rgb="FFF4F0E6"/>
      </x:patternFill>
    </x:fill>
    <x:fill>
      <x:patternFill patternType="solid">
        <x:fgColor rgb="FFE7E8D3"/>
      </x:patternFill>
    </x:fill>
    <x:fill>
      <x:patternFill patternType="solid">
        <x:fgColor rgb="FF2A3749"/>
      </x:patternFill>
    </x:fill>
    <x:fill>
      <x:patternFill patternType="solid">
        <x:fgColor rgb="FF6D6C2C"/>
      </x:patternFill>
    </x:fill>
    <x:fill>
      <x:patternFill patternType="solid">
        <x:fgColor rgb="FFFFFFFF"/>
      </x:patternFill>
    </x:fill>
    <x:fill>
      <x:patternFill patternType="solid">
        <x:fgColor rgb="FFF8F6EF"/>
      </x:patternFill>
    </x:fill>
    <x:fill>
      <x:patternFill patternType="solid">
        <x:fgColor rgb="FFFFF9EB"/>
      </x:patternFill>
    </x:fill>
  </x:fills>
  <x:borders count="10">
    <x:border/>
    <x:border>
      <x:bottom style="medium">
        <x:color rgb="FF6D6C2C"/>
      </x:bottom>
    </x:border>
    <x:border>
      <x:left style="thin">
        <x:color rgb="FFC9C7BC"/>
      </x:left>
      <x:top style="thin">
        <x:color rgb="FFC9C7BC"/>
      </x:top>
      <x:bottom style="thin">
        <x:color rgb="FFC9C7BC"/>
      </x:bottom>
    </x:border>
    <x:border>
      <x:top style="thin">
        <x:color rgb="FFC9C7BC"/>
      </x:top>
      <x:bottom style="thin">
        <x:color rgb="FFC9C7BC"/>
      </x:bottom>
    </x:border>
    <x:border>
      <x:right style="thin">
        <x:color rgb="FFC9C7BC"/>
      </x:right>
      <x:top style="thin">
        <x:color rgb="FFC9C7BC"/>
      </x:top>
      <x:bottom style="thin">
        <x:color rgb="FFC9C7BC"/>
      </x:bottom>
    </x:border>
    <x:border>
      <x:right style="thin">
        <x:color rgb="FFF4F0E6"/>
      </x:right>
      <x:bottom style="medium">
        <x:color rgb="FF6D6C2C"/>
      </x:bottom>
    </x:border>
    <x:border>
      <x:left style="thin">
        <x:color rgb="FFF4F0E6"/>
      </x:left>
      <x:right style="thin">
        <x:color rgb="FFF4F0E6"/>
      </x:right>
      <x:bottom style="medium">
        <x:color rgb="FF6D6C2C"/>
      </x:bottom>
    </x:border>
    <x:border>
      <x:top style="hair">
        <x:color rgb="FFDEDCD2"/>
      </x:top>
      <x:bottom style="hair">
        <x:color rgb="FFDEDCD2"/>
      </x:bottom>
    </x:border>
    <x:border>
      <x:right style="thin">
        <x:color rgb="FFF4F0E6"/>
      </x:right>
      <x:top style="hair">
        <x:color rgb="FFDEDCD2"/>
      </x:top>
      <x:bottom style="hair">
        <x:color rgb="FFDEDCD2"/>
      </x:bottom>
    </x:border>
    <x:border>
      <x:top style="hair">
        <x:color rgb="FFDEDCD2"/>
      </x:top>
      <x:bottom style="medium">
        <x:color rgb="FF6D6C2C"/>
      </x:bottom>
    </x:border>
  </x:borders>
  <x:cellStyleXfs count="1">
    <x:xf numFmtId="0" fontId="0" fillId="0" borderId="0" applyFont="1" applyAlignment="1"/>
  </x:cellStyleXfs>
  <x:cellXfs count="60">
    <x:xf numFmtId="0" fontId="0" fillId="0" borderId="0" xfId="0" applyFont="1" applyAlignment="1">
      <x:alignment vertical="bottom" wrapText="0" shrinkToFit="0"/>
    </x:xf>
    <x:xf numFmtId="0" fontId="1" fillId="0" borderId="0" xfId="0" applyFont="1" applyAlignment="1">
      <x:alignment vertical="center" wrapText="1" shrinkToFit="0"/>
    </x:xf>
    <x:xf numFmtId="0" fontId="2" fillId="0" borderId="1" xfId="0" applyFont="1" applyBorder="1" applyAlignment="1">
      <x:alignment vertical="center" wrapText="1" shrinkToFit="0"/>
    </x:xf>
    <x:xf numFmtId="0" fontId="3" fillId="0" borderId="1" xfId="0" applyFont="1" applyBorder="1"/>
    <x:xf numFmtId="0" fontId="4" fillId="2" borderId="0" xfId="0" applyFont="1" applyFill="1" applyAlignment="1">
      <x:alignment vertical="center" wrapText="1" shrinkToFit="0"/>
    </x:xf>
    <x:xf numFmtId="0" fontId="5" fillId="3" borderId="0" xfId="0" applyFont="1" applyFill="1" applyAlignment="1">
      <x:alignment vertical="center" wrapText="1" shrinkToFit="0"/>
    </x:xf>
    <x:xf numFmtId="0" fontId="6" fillId="4" borderId="0" xfId="0" applyFont="1" applyFill="1" applyAlignment="1">
      <x:alignment horizontal="center" vertical="center" wrapText="1" shrinkToFit="0"/>
    </x:xf>
    <x:xf numFmtId="0" fontId="7" fillId="2" borderId="0" xfId="0" applyFont="1" applyFill="1" applyAlignment="1">
      <x:alignment horizontal="center" vertical="center" wrapText="1" shrinkToFit="0"/>
    </x:xf>
    <x:xf numFmtId="0" fontId="6" fillId="5" borderId="0" xfId="0" applyFont="1" applyFill="1" applyAlignment="1">
      <x:alignment horizontal="center" vertical="center" wrapText="1" shrinkToFit="0"/>
    </x:xf>
    <x:xf numFmtId="0" fontId="1" fillId="6" borderId="0" xfId="0" applyFont="1" applyFill="1" applyAlignment="1">
      <x:alignment vertical="center" wrapText="1" shrinkToFit="0"/>
    </x:xf>
    <x:xf numFmtId="9" fontId="7" fillId="2" borderId="0" xfId="0" applyNumberFormat="1" applyFont="1" applyFill="1" applyAlignment="1">
      <x:alignment horizontal="center" vertical="center" wrapText="1" shrinkToFit="0"/>
    </x:xf>
    <x:xf numFmtId="0" fontId="1" fillId="0" borderId="0" xfId="0" applyFont="1" applyAlignment="1">
      <x:alignment vertical="center"/>
    </x:xf>
    <x:xf numFmtId="0" fontId="1" fillId="6" borderId="0" xfId="0" applyFont="1" applyFill="1" applyAlignment="1">
      <x:alignment vertical="center" wrapText="1" shrinkToFit="0"/>
    </x:xf>
    <x:xf numFmtId="164" fontId="1" fillId="6" borderId="0" xfId="0" applyNumberFormat="1" applyFont="1" applyFill="1" applyAlignment="1">
      <x:alignment vertical="center" wrapText="1" shrinkToFit="0"/>
    </x:xf>
    <x:xf numFmtId="164" fontId="1" fillId="6" borderId="0" xfId="0" applyNumberFormat="1" applyFont="1" applyFill="1" applyAlignment="1">
      <x:alignment vertical="center" wrapText="1" shrinkToFit="0"/>
    </x:xf>
    <x:xf numFmtId="0" fontId="1" fillId="2" borderId="0" xfId="0" applyFont="1" applyFill="1" applyAlignment="1">
      <x:alignment vertical="center" wrapText="1" shrinkToFit="0"/>
    </x:xf>
    <x:xf numFmtId="0" fontId="8" fillId="6" borderId="0" xfId="0" applyFont="1" applyFill="1" applyAlignment="1">
      <x:alignment vertical="center" wrapText="1" shrinkToFit="0"/>
    </x:xf>
    <x:xf numFmtId="0" fontId="2" fillId="0" borderId="1" xfId="0" applyFont="1" applyBorder="1" applyAlignment="1">
      <x:alignment vertical="center"/>
    </x:xf>
    <x:xf numFmtId="0" fontId="1" fillId="2" borderId="0" xfId="0" applyFont="1" applyFill="1" applyAlignment="1">
      <x:alignment vertical="center" wrapText="1" shrinkToFit="0"/>
    </x:xf>
    <x:xf numFmtId="0" fontId="1" fillId="0" borderId="1" xfId="0" applyFont="1" applyBorder="1" applyAlignment="1">
      <x:alignment vertical="center"/>
    </x:xf>
    <x:xf numFmtId="164" fontId="1" fillId="2" borderId="0" xfId="0" applyNumberFormat="1" applyFont="1" applyFill="1" applyAlignment="1">
      <x:alignment vertical="center" wrapText="1" shrinkToFit="0"/>
    </x:xf>
    <x:xf numFmtId="165" fontId="1" fillId="6" borderId="0" xfId="0" applyNumberFormat="1" applyFont="1" applyFill="1" applyAlignment="1">
      <x:alignment vertical="center" wrapText="1" shrinkToFit="0"/>
    </x:xf>
    <x:xf numFmtId="164" fontId="1" fillId="2" borderId="0" xfId="0" applyNumberFormat="1" applyFont="1" applyFill="1" applyAlignment="1">
      <x:alignment vertical="center" wrapText="1" shrinkToFit="0"/>
    </x:xf>
    <x:xf numFmtId="0" fontId="9" fillId="0" borderId="0" xfId="0" applyFont="1" applyAlignment="1">
      <x:alignment vertical="center"/>
    </x:xf>
    <x:xf numFmtId="0" fontId="10" fillId="0" borderId="0" xfId="0" applyFont="1" applyAlignment="1">
      <x:alignment vertical="center"/>
    </x:xf>
    <x:xf numFmtId="0" fontId="1" fillId="6" borderId="0" xfId="0" applyFont="1" applyFill="1" applyAlignment="1">
      <x:alignment vertical="center" wrapText="1" shrinkToFit="0"/>
    </x:xf>
    <x:xf numFmtId="0" fontId="8" fillId="2" borderId="0" xfId="0" applyFont="1" applyFill="1" applyAlignment="1">
      <x:alignment vertical="center" wrapText="1" shrinkToFit="0"/>
    </x:xf>
    <x:xf numFmtId="0" fontId="4" fillId="2" borderId="0" xfId="0" applyFont="1" applyFill="1" applyAlignment="1">
      <x:alignment vertical="center" wrapText="1" shrinkToFit="0"/>
    </x:xf>
    <x:xf numFmtId="165" fontId="1" fillId="2" borderId="0" xfId="0" applyNumberFormat="1" applyFont="1" applyFill="1" applyAlignment="1">
      <x:alignment vertical="center" wrapText="1" shrinkToFit="0"/>
    </x:xf>
    <x:xf numFmtId="0" fontId="5" fillId="3" borderId="0" xfId="0" applyFont="1" applyFill="1" applyAlignment="1">
      <x:alignment vertical="center" wrapText="1" shrinkToFit="0"/>
    </x:xf>
    <x:xf numFmtId="0" fontId="1" fillId="2" borderId="0" xfId="0" applyFont="1" applyFill="1" applyAlignment="1">
      <x:alignment vertical="center" wrapText="1" shrinkToFit="0"/>
    </x:xf>
    <x:xf numFmtId="0" fontId="6" fillId="4" borderId="0" xfId="0" applyFont="1" applyFill="1" applyAlignment="1">
      <x:alignment horizontal="center" vertical="center"/>
    </x:xf>
    <x:xf numFmtId="0" fontId="11" fillId="6" borderId="2" xfId="0" applyFont="1" applyFill="1" applyBorder="1" applyAlignment="1">
      <x:alignment horizontal="center" vertical="center"/>
    </x:xf>
    <x:xf numFmtId="0" fontId="11" fillId="6" borderId="3" xfId="0" applyFont="1" applyFill="1" applyBorder="1" applyAlignment="1">
      <x:alignment horizontal="center" vertical="center"/>
    </x:xf>
    <x:xf numFmtId="9" fontId="11" fillId="6" borderId="4" xfId="0" applyNumberFormat="1" applyFont="1" applyFill="1" applyBorder="1" applyAlignment="1">
      <x:alignment horizontal="center" vertical="center"/>
    </x:xf>
    <x:xf numFmtId="0" fontId="6" fillId="4" borderId="5" xfId="0" applyFont="1" applyFill="1" applyBorder="1" applyAlignment="1">
      <x:alignment horizontal="center" vertical="center" wrapText="1" shrinkToFit="0"/>
    </x:xf>
    <x:xf numFmtId="0" fontId="6" fillId="4" borderId="6" xfId="0" applyFont="1" applyFill="1" applyBorder="1" applyAlignment="1">
      <x:alignment horizontal="center" vertical="center" wrapText="1" shrinkToFit="0"/>
    </x:xf>
    <x:xf numFmtId="0" fontId="1" fillId="6" borderId="7" xfId="0" applyFont="1" applyFill="1" applyBorder="1" applyAlignment="1">
      <x:alignment vertical="center" wrapText="1" shrinkToFit="0"/>
    </x:xf>
    <x:xf numFmtId="49" fontId="8" fillId="6" borderId="7" xfId="0" applyNumberFormat="1" applyFont="1" applyFill="1" applyBorder="1" applyAlignment="1">
      <x:alignment vertical="center" wrapText="1" shrinkToFit="0"/>
    </x:xf>
    <x:xf numFmtId="0" fontId="1" fillId="6" borderId="7" xfId="0" applyFont="1" applyFill="1" applyBorder="1" applyAlignment="1">
      <x:alignment vertical="center" wrapText="1" shrinkToFit="0"/>
    </x:xf>
    <x:xf numFmtId="0" fontId="1" fillId="6" borderId="7" xfId="0" applyFont="1" applyFill="1" applyBorder="1" applyAlignment="1">
      <x:alignment vertical="center" wrapText="1" shrinkToFit="0"/>
    </x:xf>
    <x:xf numFmtId="166" fontId="1" fillId="6" borderId="8" xfId="0" applyNumberFormat="1" applyFont="1" applyFill="1" applyBorder="1" applyAlignment="1">
      <x:alignment vertical="center" wrapText="1" shrinkToFit="0"/>
    </x:xf>
    <x:xf numFmtId="0" fontId="1" fillId="7" borderId="7" xfId="0" applyFont="1" applyFill="1" applyBorder="1" applyAlignment="1">
      <x:alignment vertical="center" wrapText="1" shrinkToFit="0"/>
    </x:xf>
    <x:xf numFmtId="49" fontId="8" fillId="7" borderId="7" xfId="0" applyNumberFormat="1" applyFont="1" applyFill="1" applyBorder="1" applyAlignment="1">
      <x:alignment vertical="center" wrapText="1" shrinkToFit="0"/>
    </x:xf>
    <x:xf numFmtId="0" fontId="1" fillId="7" borderId="7" xfId="0" applyFont="1" applyFill="1" applyBorder="1" applyAlignment="1">
      <x:alignment vertical="center" wrapText="1" shrinkToFit="0"/>
    </x:xf>
    <x:xf numFmtId="0" fontId="1" fillId="7" borderId="7" xfId="0" applyFont="1" applyFill="1" applyBorder="1" applyAlignment="1">
      <x:alignment vertical="center" wrapText="1" shrinkToFit="0"/>
    </x:xf>
    <x:xf numFmtId="0" fontId="9" fillId="8" borderId="7" xfId="0" applyFont="1" applyFill="1" applyBorder="1" applyAlignment="1">
      <x:alignment vertical="center" wrapText="1" shrinkToFit="0"/>
    </x:xf>
    <x:xf numFmtId="0" fontId="1" fillId="8" borderId="7" xfId="0" applyFont="1" applyFill="1" applyBorder="1" applyAlignment="1">
      <x:alignment vertical="center" wrapText="1" shrinkToFit="0"/>
    </x:xf>
    <x:xf numFmtId="49" fontId="1" fillId="8" borderId="7" xfId="0" applyNumberFormat="1" applyFont="1" applyFill="1" applyBorder="1" applyAlignment="1">
      <x:alignment vertical="center" wrapText="1" shrinkToFit="0"/>
    </x:xf>
    <x:xf numFmtId="49" fontId="12" fillId="8" borderId="7" xfId="0" applyNumberFormat="1" applyFont="1" applyFill="1" applyBorder="1" applyAlignment="1">
      <x:alignment vertical="center" wrapText="1" shrinkToFit="0"/>
    </x:xf>
    <x:xf numFmtId="0" fontId="1" fillId="8" borderId="7" xfId="0" applyFont="1" applyFill="1" applyBorder="1" applyAlignment="1">
      <x:alignment vertical="center" wrapText="1" shrinkToFit="0"/>
    </x:xf>
    <x:xf numFmtId="49" fontId="13" fillId="8" borderId="7" xfId="0" applyNumberFormat="1" applyFont="1" applyFill="1" applyBorder="1" applyAlignment="1">
      <x:alignment vertical="center" wrapText="1" shrinkToFit="0"/>
    </x:xf>
    <x:xf numFmtId="0" fontId="1" fillId="8" borderId="7" xfId="0" applyFont="1" applyFill="1" applyBorder="1" applyAlignment="1">
      <x:alignment vertical="center" wrapText="1" shrinkToFit="0"/>
    </x:xf>
    <x:xf numFmtId="49" fontId="8" fillId="8" borderId="7" xfId="0" applyNumberFormat="1" applyFont="1" applyFill="1" applyBorder="1" applyAlignment="1">
      <x:alignment vertical="center" wrapText="1" shrinkToFit="0"/>
    </x:xf>
    <x:xf numFmtId="0" fontId="1" fillId="8" borderId="7" xfId="0" applyFont="1" applyFill="1" applyBorder="1" applyAlignment="1">
      <x:alignment vertical="center" wrapText="1" shrinkToFit="0"/>
    </x:xf>
    <x:xf numFmtId="0" fontId="9" fillId="8" borderId="9" xfId="0" applyFont="1" applyFill="1" applyBorder="1" applyAlignment="1">
      <x:alignment vertical="center" wrapText="1" shrinkToFit="0"/>
    </x:xf>
    <x:xf numFmtId="0" fontId="1" fillId="8" borderId="9" xfId="0" applyFont="1" applyFill="1" applyBorder="1" applyAlignment="1">
      <x:alignment vertical="center" wrapText="1" shrinkToFit="0"/>
    </x:xf>
    <x:xf numFmtId="49" fontId="13" fillId="8" borderId="9" xfId="0" applyNumberFormat="1" applyFont="1" applyFill="1" applyBorder="1" applyAlignment="1">
      <x:alignment vertical="center" wrapText="1" shrinkToFit="0"/>
    </x:xf>
    <x:xf numFmtId="0" fontId="1" fillId="8" borderId="9" xfId="0" applyFont="1" applyFill="1" applyBorder="1" applyAlignment="1">
      <x:alignment vertical="center" wrapText="1" shrinkToFit="0"/>
    </x:xf>
    <x:xf numFmtId="0" fontId="1" fillId="8" borderId="9" xfId="0" applyFont="1" applyFill="1" applyBorder="1" applyAlignment="1">
      <x:alignment vertical="center" wrapText="1" shrinkToFit="0"/>
    </x:xf>
  </x:cellXfs>
  <x:cellStyles count="1">
    <x:cellStyle name="Normal" xfId="0"/>
  </x:cellStyles>
  <x:dxfs count="11">
    <x:dxf>
      <x:fill>
        <x:patternFill patternType="none"/>
      </x:fill>
      <x:border/>
    </x:dxf>
    <x:dxf>
      <x:fill>
        <x:patternFill>
          <x:bgColor rgb="FFFFFFFF"/>
        </x:patternFill>
      </x:fill>
      <x:border/>
    </x:dxf>
    <x:dxf>
      <x:border>
        <x:left style="thin">
          <x:color rgb="FFFFFFFF"/>
        </x:left>
        <x:right style="thin">
          <x:color rgb="FFFFFFFF"/>
        </x:right>
        <x:top style="thin">
          <x:color rgb="FFFFFFFF"/>
        </x:top>
        <x:bottom style="thin">
          <x:color rgb="FFFFFFFF"/>
        </x:bottom>
      </x:border>
    </x:dxf>
    <x:dxf>
      <x:font>
        <x:color rgb="FF2A3749"/>
      </x:font>
      <x:fill>
        <x:patternFill>
          <x:bgColor rgb="FFECEFF1"/>
        </x:patternFill>
      </x:fill>
      <x:border/>
    </x:dxf>
    <x:dxf>
      <x:font>
        <x:b/>
        <x:color rgb="FFA61B1B"/>
      </x:font>
      <x:fill>
        <x:patternFill>
          <x:bgColor rgb="FFFDE2E1"/>
        </x:patternFill>
      </x:fill>
      <x:border/>
    </x:dxf>
    <x:dxf>
      <x:font>
        <x:b/>
        <x:color rgb="FF57571F"/>
      </x:font>
      <x:fill>
        <x:patternFill>
          <x:bgColor rgb="FFE7E8D3"/>
        </x:patternFill>
      </x:fill>
      <x:border/>
    </x:dxf>
    <x:dxf>
      <x:font>
        <x:b/>
        <x:color rgb="FF2A3749"/>
      </x:font>
      <x:fill>
        <x:patternFill>
          <x:bgColor rgb="FFECEFF1"/>
        </x:patternFill>
      </x:fill>
      <x:border/>
    </x:dxf>
    <x:dxf>
      <x:font>
        <x:b/>
        <x:color rgb="FF2A3749"/>
      </x:font>
      <x:fill>
        <x:patternFill>
          <x:bgColor rgb="FFFCECC9"/>
        </x:patternFill>
      </x:fill>
      <x:border/>
    </x:dxf>
    <x:dxf>
      <x:font>
        <x:b/>
        <x:color rgb="FF7A4E00"/>
      </x:font>
      <x:fill>
        <x:patternFill>
          <x:bgColor rgb="FFFCECC9"/>
        </x:patternFill>
      </x:fill>
      <x:border/>
    </x:dxf>
    <x:dxf>
      <x:font>
        <x:color rgb="FF4B5563"/>
      </x:font>
      <x:fill>
        <x:patternFill>
          <x:bgColor rgb="FFECEFF1"/>
        </x:patternFill>
      </x:fill>
      <x:border/>
    </x:dxf>
    <x:dxf>
      <x:font>
        <x:color rgb="FF7A4E00"/>
      </x:font>
      <x:fill>
        <x:patternFill>
          <x:bgColor rgb="FFFCECC9"/>
        </x:patternFill>
      </x:fill>
      <x:border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9563856c6d4438d" /><Relationship Type="http://schemas.openxmlformats.org/officeDocument/2006/relationships/theme" Target="/xl/theme/theme1.xml" Id="R13ea4b91d3084bb1" /><Relationship Type="http://schemas.openxmlformats.org/officeDocument/2006/relationships/sharedStrings" Target="/xl/sharedStrings.xml" Id="Rd9f7224cbac54763" /><Relationship Type="http://schemas.openxmlformats.org/officeDocument/2006/relationships/worksheet" Target="/xl/worksheets/sheet1.xml" Id="R8e1a893fe35b4eae" /><Relationship Type="http://schemas.openxmlformats.org/officeDocument/2006/relationships/worksheet" Target="/xl/worksheets/sheet2.xml" Id="R5c85c02112664574" /><Relationship Type="http://schemas.openxmlformats.org/officeDocument/2006/relationships/worksheet" Target="/xl/worksheets/sheet3.xml" Id="R70cacdc2709445ba" /><Relationship Type="http://schemas.openxmlformats.org/officeDocument/2006/relationships/worksheet" Target="/xl/worksheets/sheet4.xml" Id="R408e7eef257d4e6d" /></Relationships>
</file>

<file path=xl/tables/table1.xml><?xml version="1.0" encoding="utf-8"?>
<x:table xmlns:x="http://schemas.openxmlformats.org/spreadsheetml/2006/main" id="1" name="PythonLogicTests" displayName="PythonLogicTests" ref="A10:N50">
  <x:tableColumns count="14">
    <x:tableColumn id="1" name="Test ID"/>
    <x:tableColumn id="2" name="Test Type"/>
    <x:tableColumn id="3" name="Category"/>
    <x:tableColumn id="4" name="Symptom / Scenario"/>
    <x:tableColumn id="5" name="Main Menu Input"/>
    <x:tableColumn id="6" name="Symptom Input"/>
    <x:tableColumn id="7" name="Diagnostic Answer"/>
    <x:tableColumn id="8" name="Resolved Answer"/>
    <x:tableColumn id="9" name="Expected Final Result"/>
    <x:tableColumn id="10" name="Actual Final Result"/>
    <x:tableColumn id="11" name="Status"/>
    <x:tableColumn id="12" name="Notes / Fix Needed"/>
    <x:tableColumn id="13" name="Retest Status"/>
    <x:tableColumn id="14" name="Date Tested"/>
  </x:tableColumns>
  <x:tableStyleInfo name="Python Logic Tests-style" showFirstColumn="1" showLastColumn="1" showRowStripes="1" showColumnStripes="0"/>
</x: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35bdc1612ba4efa" /></Relationships>
</file>

<file path=xl/worksheets/sheet1.xml><?xml version="1.0" encoding="utf-8"?>
<x:worksheet xmlns:x="http://schemas.openxmlformats.org/spreadsheetml/2006/main">
  <x:sheetPr>
    <x:tabColor rgb="FF2A3749"/>
  </x:sheetPr>
  <x:sheetViews>
    <x:sheetView showGridLines="0" workbookViewId="0">
      <x:pane xSplit="4" ySplit="10" topLeftCell="E11" activePane="bottomRight" state="frozen"/>
    </x:sheetView>
  </x:sheetViews>
  <x:sheetFormatPr defaultColWidth="12.630000114440918" defaultRowHeight="15"/>
  <x:cols>
    <x:col min="1" max="1" width="11" customWidth="1"/>
    <x:col min="2" max="2" width="15" customWidth="1"/>
    <x:col min="3" max="3" width="16" customWidth="1"/>
    <x:col min="4" max="4" width="23" customWidth="1"/>
    <x:col min="5" max="6" width="14" customWidth="1"/>
    <x:col min="7" max="7" width="17" customWidth="1"/>
    <x:col min="8" max="8" width="16" customWidth="1"/>
    <x:col min="9" max="10" width="55" customWidth="1"/>
    <x:col min="11" max="11" width="14" customWidth="1"/>
    <x:col min="12" max="12" width="37.630001068115234" customWidth="1"/>
    <x:col min="13" max="13" width="15" customWidth="1"/>
    <x:col min="14" max="14" width="14" customWidth="1"/>
    <x:col min="15" max="26" width="8.630000114440918" customWidth="1"/>
  </x:cols>
  <x:sheetData>
    <x:row r="1">
      <x:c r="A1" s="11"/>
      <x:c r="B1" s="11"/>
      <x:c r="C1" s="11"/>
      <x:c r="D1" s="11"/>
      <x:c r="E1" s="11"/>
      <x:c r="F1" s="11"/>
      <x:c r="G1" s="11"/>
      <x:c r="H1" s="11"/>
      <x:c r="I1" s="11"/>
      <x:c r="J1" s="11"/>
      <x:c r="K1" s="11"/>
      <x:c r="L1" s="11"/>
      <x:c r="M1" s="11"/>
      <x:c r="N1" s="11"/>
    </x:row>
    <x:row r="2">
      <x:c r="A2" s="17" t="s">
        <x:v>0</x:v>
      </x:c>
      <x:c r="B2" s="19"/>
      <x:c r="C2" s="19"/>
      <x:c r="D2" s="19"/>
      <x:c r="E2" s="19"/>
      <x:c r="F2" s="19"/>
      <x:c r="G2" s="19"/>
      <x:c r="H2" s="19"/>
      <x:c r="I2" s="19"/>
      <x:c r="J2" s="19"/>
      <x:c r="K2" s="19"/>
      <x:c r="L2" s="19"/>
      <x:c r="M2" s="19"/>
      <x:c r="N2" s="19"/>
    </x:row>
    <x:row r="3">
      <x:c r="A3" s="23" t="s">
        <x:v>1</x:v>
      </x:c>
      <x:c r="B3" s="24" t="str">
        <x:v>See python/StreamingChatBotAI-Project.ipynb in this repository.</x:v>
      </x:c>
    </x:row>
    <x:row r="4" ht="33.75" customHeight="1">
      <x:c r="A4" s="27" t="s">
        <x:v>2</x:v>
      </x:c>
    </x:row>
    <x:row r="5" ht="33.75" customHeight="1">
      <x:c r="A5" s="29" t="s">
        <x:v>3</x:v>
      </x:c>
    </x:row>
    <x:row r="6">
      <x:c r="A6" s="11"/>
      <x:c r="B6" s="11"/>
      <x:c r="C6" s="11"/>
      <x:c r="D6" s="11"/>
      <x:c r="E6" s="11"/>
      <x:c r="F6" s="11"/>
      <x:c r="G6" s="11"/>
      <x:c r="H6" s="11"/>
      <x:c r="I6" s="11"/>
      <x:c r="J6" s="11"/>
      <x:c r="K6" s="11"/>
      <x:c r="L6" s="11"/>
      <x:c r="M6" s="11"/>
      <x:c r="N6" s="11"/>
    </x:row>
    <x:row r="7" ht="24.75" customHeight="1">
      <x:c r="A7" s="31" t="s">
        <x:v>4</x:v>
      </x:c>
      <x:c r="B7" s="31" t="s">
        <x:v>5</x:v>
      </x:c>
      <x:c r="C7" s="31" t="s">
        <x:v>6</x:v>
      </x:c>
      <x:c r="D7" s="31" t="s">
        <x:v>7</x:v>
      </x:c>
      <x:c r="E7" s="31" t="s">
        <x:v>8</x:v>
      </x:c>
      <x:c r="F7" s="31" t="s">
        <x:v>9</x:v>
      </x:c>
      <x:c r="G7" s="11"/>
      <x:c r="H7" s="11"/>
      <x:c r="I7" s="11"/>
      <x:c r="J7" s="11"/>
      <x:c r="K7" s="11"/>
      <x:c r="L7" s="11"/>
      <x:c r="M7" s="11"/>
      <x:c r="N7" s="11"/>
    </x:row>
    <x:row r="8" ht="24.75" customHeight="1">
      <x:c r="A8" s="32" t="n">
        <x:f>COUNTA(A11:A50)</x:f>
        <x:v>40</x:v>
      </x:c>
      <x:c r="B8" s="33" t="n">
        <x:f>COUNTIF(K11:K50,"Pass")</x:f>
        <x:v>37</x:v>
      </x:c>
      <x:c r="C8" s="33" t="n">
        <x:f>COUNTIF(K11:K50,"Fail")</x:f>
        <x:v>3</x:v>
      </x:c>
      <x:c r="D8" s="33" t="n">
        <x:f>COUNTIF(K11:K50,"Blocked")</x:f>
        <x:v>0</x:v>
      </x:c>
      <x:c r="E8" s="33" t="n">
        <x:f>COUNTIF(K11:K50,"Not Tested")</x:f>
        <x:v>0</x:v>
      </x:c>
      <x:c r="F8" s="34" t="n">
        <x:f>IF(A8=0,0,(B8+C8+D8)/A8)</x:f>
        <x:v>1</x:v>
      </x:c>
      <x:c r="G8" s="11"/>
      <x:c r="H8" s="11"/>
      <x:c r="I8" s="11"/>
      <x:c r="J8" s="11"/>
      <x:c r="K8" s="11"/>
      <x:c r="L8" s="11"/>
      <x:c r="M8" s="11"/>
      <x:c r="N8" s="11"/>
    </x:row>
    <x:row r="9">
      <x:c r="A9" s="11"/>
      <x:c r="B9" s="11"/>
      <x:c r="C9" s="11"/>
      <x:c r="D9" s="11"/>
      <x:c r="E9" s="11"/>
      <x:c r="F9" s="11"/>
      <x:c r="G9" s="11"/>
      <x:c r="H9" s="11"/>
      <x:c r="I9" s="11"/>
      <x:c r="J9" s="11"/>
      <x:c r="K9" s="11"/>
      <x:c r="L9" s="11"/>
      <x:c r="M9" s="11"/>
      <x:c r="N9" s="11"/>
    </x:row>
    <x:row r="10" ht="36" customHeight="1">
      <x:c r="A10" s="35" t="s">
        <x:v>10</x:v>
      </x:c>
      <x:c r="B10" s="36" t="s">
        <x:v>11</x:v>
      </x:c>
      <x:c r="C10" s="36" t="s">
        <x:v>12</x:v>
      </x:c>
      <x:c r="D10" s="36" t="s">
        <x:v>13</x:v>
      </x:c>
      <x:c r="E10" s="36" t="s">
        <x:v>14</x:v>
      </x:c>
      <x:c r="F10" s="36" t="s">
        <x:v>15</x:v>
      </x:c>
      <x:c r="G10" s="36" t="s">
        <x:v>16</x:v>
      </x:c>
      <x:c r="H10" s="36" t="s">
        <x:v>17</x:v>
      </x:c>
      <x:c r="I10" s="36" t="s">
        <x:v>18</x:v>
      </x:c>
      <x:c r="J10" s="36" t="s">
        <x:v>19</x:v>
      </x:c>
      <x:c r="K10" s="36" t="s">
        <x:v>20</x:v>
      </x:c>
      <x:c r="L10" s="36" t="s">
        <x:v>21</x:v>
      </x:c>
      <x:c r="M10" s="36" t="s">
        <x:v>22</x:v>
      </x:c>
      <x:c r="N10" s="36" t="s">
        <x:v>23</x:v>
      </x:c>
    </x:row>
    <x:row r="11" ht="54" customHeight="1">
      <x:c r="A11" s="37" t="s">
        <x:v>24</x:v>
      </x:c>
      <x:c r="B11" s="37" t="s">
        <x:v>25</x:v>
      </x:c>
      <x:c r="C11" s="37" t="s">
        <x:v>26</x:v>
      </x:c>
      <x:c r="D11" s="37" t="s">
        <x:v>27</x:v>
      </x:c>
      <x:c r="E11" s="37" t="s">
        <x:v>28</x:v>
      </x:c>
      <x:c r="F11" s="37" t="s">
        <x:v>28</x:v>
      </x:c>
      <x:c r="G11" s="37" t="s">
        <x:v>29</x:v>
      </x:c>
      <x:c r="H11" s="37" t="s">
        <x:v>29</x:v>
      </x:c>
      <x:c r="I11" s="37" t="s">
        <x:v>30</x:v>
      </x:c>
      <x:c r="J11" s="38" t="s">
        <x:v>30</x:v>
      </x:c>
      <x:c r="K11" s="39" t="s">
        <x:v>5</x:v>
      </x:c>
      <x:c r="L11" s="37" t="s">
        <x:v>31</x:v>
      </x:c>
      <x:c r="M11" s="40" t="s">
        <x:v>32</x:v>
      </x:c>
      <x:c r="N11" s="41">
        <x:v>46293.0</x:v>
      </x:c>
    </x:row>
    <x:row r="12" ht="54" customHeight="1">
      <x:c r="A12" s="42" t="s">
        <x:v>33</x:v>
      </x:c>
      <x:c r="B12" s="42" t="s">
        <x:v>25</x:v>
      </x:c>
      <x:c r="C12" s="42" t="s">
        <x:v>26</x:v>
      </x:c>
      <x:c r="D12" s="42" t="s">
        <x:v>27</x:v>
      </x:c>
      <x:c r="E12" s="42" t="s">
        <x:v>28</x:v>
      </x:c>
      <x:c r="F12" s="42" t="s">
        <x:v>28</x:v>
      </x:c>
      <x:c r="G12" s="42" t="s">
        <x:v>29</x:v>
      </x:c>
      <x:c r="H12" s="42" t="s">
        <x:v>34</x:v>
      </x:c>
      <x:c r="I12" s="42" t="s">
        <x:v>35</x:v>
      </x:c>
      <x:c r="J12" s="43" t="s">
        <x:v>35</x:v>
      </x:c>
      <x:c r="K12" s="44" t="s">
        <x:v>5</x:v>
      </x:c>
      <x:c r="L12" s="42" t="s">
        <x:v>36</x:v>
      </x:c>
      <x:c r="M12" s="45" t="s">
        <x:v>32</x:v>
      </x:c>
      <x:c r="N12" s="41">
        <x:v>46293.0</x:v>
      </x:c>
    </x:row>
    <x:row r="13" ht="54" customHeight="1">
      <x:c r="A13" s="37" t="s">
        <x:v>37</x:v>
      </x:c>
      <x:c r="B13" s="37" t="s">
        <x:v>25</x:v>
      </x:c>
      <x:c r="C13" s="37" t="s">
        <x:v>26</x:v>
      </x:c>
      <x:c r="D13" s="37" t="s">
        <x:v>27</x:v>
      </x:c>
      <x:c r="E13" s="37" t="s">
        <x:v>28</x:v>
      </x:c>
      <x:c r="F13" s="37" t="s">
        <x:v>28</x:v>
      </x:c>
      <x:c r="G13" s="37" t="s">
        <x:v>34</x:v>
      </x:c>
      <x:c r="H13" s="37" t="s">
        <x:v>29</x:v>
      </x:c>
      <x:c r="I13" s="37" t="s">
        <x:v>38</x:v>
      </x:c>
      <x:c r="J13" s="38" t="s">
        <x:v>38</x:v>
      </x:c>
      <x:c r="K13" s="39" t="s">
        <x:v>5</x:v>
      </x:c>
      <x:c r="L13" s="37" t="s">
        <x:v>39</x:v>
      </x:c>
      <x:c r="M13" s="40" t="s">
        <x:v>32</x:v>
      </x:c>
      <x:c r="N13" s="41">
        <x:v>46293.0</x:v>
      </x:c>
    </x:row>
    <x:row r="14" ht="54" customHeight="1">
      <x:c r="A14" s="42" t="s">
        <x:v>40</x:v>
      </x:c>
      <x:c r="B14" s="42" t="s">
        <x:v>25</x:v>
      </x:c>
      <x:c r="C14" s="42" t="s">
        <x:v>26</x:v>
      </x:c>
      <x:c r="D14" s="42" t="s">
        <x:v>27</x:v>
      </x:c>
      <x:c r="E14" s="42" t="s">
        <x:v>28</x:v>
      </x:c>
      <x:c r="F14" s="42" t="s">
        <x:v>28</x:v>
      </x:c>
      <x:c r="G14" s="42" t="s">
        <x:v>34</x:v>
      </x:c>
      <x:c r="H14" s="42" t="s">
        <x:v>34</x:v>
      </x:c>
      <x:c r="I14" s="42" t="s">
        <x:v>41</x:v>
      </x:c>
      <x:c r="J14" s="43" t="s">
        <x:v>41</x:v>
      </x:c>
      <x:c r="K14" s="44" t="s">
        <x:v>5</x:v>
      </x:c>
      <x:c r="L14" s="42" t="s">
        <x:v>42</x:v>
      </x:c>
      <x:c r="M14" s="45" t="s">
        <x:v>32</x:v>
      </x:c>
      <x:c r="N14" s="41">
        <x:v>46293.0</x:v>
      </x:c>
    </x:row>
    <x:row r="15" ht="54" customHeight="1">
      <x:c r="A15" s="37" t="s">
        <x:v>43</x:v>
      </x:c>
      <x:c r="B15" s="37" t="s">
        <x:v>25</x:v>
      </x:c>
      <x:c r="C15" s="37" t="s">
        <x:v>26</x:v>
      </x:c>
      <x:c r="D15" s="37" t="s">
        <x:v>44</x:v>
      </x:c>
      <x:c r="E15" s="37" t="s">
        <x:v>28</x:v>
      </x:c>
      <x:c r="F15" s="37" t="s">
        <x:v>45</x:v>
      </x:c>
      <x:c r="G15" s="37" t="s">
        <x:v>34</x:v>
      </x:c>
      <x:c r="H15" s="37" t="s">
        <x:v>29</x:v>
      </x:c>
      <x:c r="I15" s="37" t="s">
        <x:v>46</x:v>
      </x:c>
      <x:c r="J15" s="38" t="s">
        <x:v>47</x:v>
      </x:c>
      <x:c r="K15" s="39" t="s">
        <x:v>5</x:v>
      </x:c>
      <x:c r="L15" s="37" t="s">
        <x:v>48</x:v>
      </x:c>
      <x:c r="M15" s="40" t="s">
        <x:v>32</x:v>
      </x:c>
      <x:c r="N15" s="41">
        <x:v>46293.0</x:v>
      </x:c>
    </x:row>
    <x:row r="16" ht="54" customHeight="1">
      <x:c r="A16" s="42" t="s">
        <x:v>49</x:v>
      </x:c>
      <x:c r="B16" s="42" t="s">
        <x:v>25</x:v>
      </x:c>
      <x:c r="C16" s="42" t="s">
        <x:v>26</x:v>
      </x:c>
      <x:c r="D16" s="42" t="s">
        <x:v>44</x:v>
      </x:c>
      <x:c r="E16" s="42" t="s">
        <x:v>28</x:v>
      </x:c>
      <x:c r="F16" s="42" t="s">
        <x:v>45</x:v>
      </x:c>
      <x:c r="G16" s="42" t="s">
        <x:v>34</x:v>
      </x:c>
      <x:c r="H16" s="42" t="s">
        <x:v>34</x:v>
      </x:c>
      <x:c r="I16" s="42" t="s">
        <x:v>50</x:v>
      </x:c>
      <x:c r="J16" s="43" t="s">
        <x:v>51</x:v>
      </x:c>
      <x:c r="K16" s="44" t="s">
        <x:v>5</x:v>
      </x:c>
      <x:c r="L16" s="42" t="s">
        <x:v>52</x:v>
      </x:c>
      <x:c r="M16" s="45" t="s">
        <x:v>32</x:v>
      </x:c>
      <x:c r="N16" s="41">
        <x:v>46293.0</x:v>
      </x:c>
    </x:row>
    <x:row r="17" ht="54" customHeight="1">
      <x:c r="A17" s="37" t="s">
        <x:v>53</x:v>
      </x:c>
      <x:c r="B17" s="37" t="s">
        <x:v>25</x:v>
      </x:c>
      <x:c r="C17" s="37" t="s">
        <x:v>26</x:v>
      </x:c>
      <x:c r="D17" s="37" t="s">
        <x:v>44</x:v>
      </x:c>
      <x:c r="E17" s="37" t="s">
        <x:v>28</x:v>
      </x:c>
      <x:c r="F17" s="37" t="s">
        <x:v>45</x:v>
      </x:c>
      <x:c r="G17" s="37" t="s">
        <x:v>29</x:v>
      </x:c>
      <x:c r="H17" s="37" t="s">
        <x:v>29</x:v>
      </x:c>
      <x:c r="I17" s="37" t="s">
        <x:v>54</x:v>
      </x:c>
      <x:c r="J17" s="38" t="s">
        <x:v>54</x:v>
      </x:c>
      <x:c r="K17" s="39" t="s">
        <x:v>5</x:v>
      </x:c>
      <x:c r="L17" s="37" t="s">
        <x:v>55</x:v>
      </x:c>
      <x:c r="M17" s="40" t="s">
        <x:v>32</x:v>
      </x:c>
      <x:c r="N17" s="41">
        <x:v>46293.0</x:v>
      </x:c>
    </x:row>
    <x:row r="18" ht="54" customHeight="1">
      <x:c r="A18" s="42" t="s">
        <x:v>56</x:v>
      </x:c>
      <x:c r="B18" s="42" t="s">
        <x:v>25</x:v>
      </x:c>
      <x:c r="C18" s="42" t="s">
        <x:v>26</x:v>
      </x:c>
      <x:c r="D18" s="42" t="s">
        <x:v>44</x:v>
      </x:c>
      <x:c r="E18" s="42" t="s">
        <x:v>28</x:v>
      </x:c>
      <x:c r="F18" s="42" t="s">
        <x:v>45</x:v>
      </x:c>
      <x:c r="G18" s="42" t="s">
        <x:v>29</x:v>
      </x:c>
      <x:c r="H18" s="42" t="s">
        <x:v>34</x:v>
      </x:c>
      <x:c r="I18" s="42" t="s">
        <x:v>57</x:v>
      </x:c>
      <x:c r="J18" s="43" t="s">
        <x:v>58</x:v>
      </x:c>
      <x:c r="K18" s="44" t="s">
        <x:v>5</x:v>
      </x:c>
      <x:c r="L18" s="42" t="s">
        <x:v>59</x:v>
      </x:c>
      <x:c r="M18" s="45" t="s">
        <x:v>32</x:v>
      </x:c>
      <x:c r="N18" s="41">
        <x:v>46293.0</x:v>
      </x:c>
    </x:row>
    <x:row r="19" ht="54" customHeight="1">
      <x:c r="A19" s="37" t="s">
        <x:v>60</x:v>
      </x:c>
      <x:c r="B19" s="37" t="s">
        <x:v>25</x:v>
      </x:c>
      <x:c r="C19" s="37" t="s">
        <x:v>61</x:v>
      </x:c>
      <x:c r="D19" s="37" t="s">
        <x:v>62</x:v>
      </x:c>
      <x:c r="E19" s="37" t="s">
        <x:v>45</x:v>
      </x:c>
      <x:c r="F19" s="37" t="s">
        <x:v>28</x:v>
      </x:c>
      <x:c r="G19" s="37" t="s">
        <x:v>34</x:v>
      </x:c>
      <x:c r="H19" s="37" t="s">
        <x:v>29</x:v>
      </x:c>
      <x:c r="I19" s="37" t="s">
        <x:v>63</x:v>
      </x:c>
      <x:c r="J19" s="38" t="s">
        <x:v>63</x:v>
      </x:c>
      <x:c r="K19" s="39" t="s">
        <x:v>5</x:v>
      </x:c>
      <x:c r="L19" s="37" t="s">
        <x:v>64</x:v>
      </x:c>
      <x:c r="M19" s="40" t="s">
        <x:v>32</x:v>
      </x:c>
      <x:c r="N19" s="41">
        <x:v>46293.0</x:v>
      </x:c>
    </x:row>
    <x:row r="20" ht="54" customHeight="1">
      <x:c r="A20" s="42" t="s">
        <x:v>65</x:v>
      </x:c>
      <x:c r="B20" s="42" t="s">
        <x:v>25</x:v>
      </x:c>
      <x:c r="C20" s="42" t="s">
        <x:v>61</x:v>
      </x:c>
      <x:c r="D20" s="42" t="s">
        <x:v>62</x:v>
      </x:c>
      <x:c r="E20" s="42" t="s">
        <x:v>45</x:v>
      </x:c>
      <x:c r="F20" s="42" t="s">
        <x:v>28</x:v>
      </x:c>
      <x:c r="G20" s="42" t="s">
        <x:v>34</x:v>
      </x:c>
      <x:c r="H20" s="42" t="s">
        <x:v>34</x:v>
      </x:c>
      <x:c r="I20" s="42" t="s">
        <x:v>66</x:v>
      </x:c>
      <x:c r="J20" s="43" t="s">
        <x:v>66</x:v>
      </x:c>
      <x:c r="K20" s="44" t="s">
        <x:v>5</x:v>
      </x:c>
      <x:c r="L20" s="42" t="s">
        <x:v>67</x:v>
      </x:c>
      <x:c r="M20" s="45" t="s">
        <x:v>32</x:v>
      </x:c>
      <x:c r="N20" s="41">
        <x:v>46293.0</x:v>
      </x:c>
    </x:row>
    <x:row r="21" ht="54" customHeight="1">
      <x:c r="A21" s="37" t="s">
        <x:v>68</x:v>
      </x:c>
      <x:c r="B21" s="37" t="s">
        <x:v>25</x:v>
      </x:c>
      <x:c r="C21" s="37" t="s">
        <x:v>61</x:v>
      </x:c>
      <x:c r="D21" s="37" t="s">
        <x:v>62</x:v>
      </x:c>
      <x:c r="E21" s="37" t="s">
        <x:v>45</x:v>
      </x:c>
      <x:c r="F21" s="37" t="s">
        <x:v>28</x:v>
      </x:c>
      <x:c r="G21" s="37" t="s">
        <x:v>29</x:v>
      </x:c>
      <x:c r="H21" s="37" t="s">
        <x:v>29</x:v>
      </x:c>
      <x:c r="I21" s="37" t="s">
        <x:v>69</x:v>
      </x:c>
      <x:c r="J21" s="38" t="s">
        <x:v>69</x:v>
      </x:c>
      <x:c r="K21" s="39" t="s">
        <x:v>5</x:v>
      </x:c>
      <x:c r="L21" s="37" t="s">
        <x:v>70</x:v>
      </x:c>
      <x:c r="M21" s="40" t="s">
        <x:v>32</x:v>
      </x:c>
      <x:c r="N21" s="41">
        <x:v>46293.0</x:v>
      </x:c>
    </x:row>
    <x:row r="22" ht="54" customHeight="1">
      <x:c r="A22" s="42" t="s">
        <x:v>71</x:v>
      </x:c>
      <x:c r="B22" s="42" t="s">
        <x:v>25</x:v>
      </x:c>
      <x:c r="C22" s="42" t="s">
        <x:v>61</x:v>
      </x:c>
      <x:c r="D22" s="42" t="s">
        <x:v>62</x:v>
      </x:c>
      <x:c r="E22" s="42" t="s">
        <x:v>45</x:v>
      </x:c>
      <x:c r="F22" s="42" t="s">
        <x:v>28</x:v>
      </x:c>
      <x:c r="G22" s="42" t="s">
        <x:v>29</x:v>
      </x:c>
      <x:c r="H22" s="42" t="s">
        <x:v>34</x:v>
      </x:c>
      <x:c r="I22" s="42" t="s">
        <x:v>72</x:v>
      </x:c>
      <x:c r="J22" s="43" t="s">
        <x:v>72</x:v>
      </x:c>
      <x:c r="K22" s="44" t="s">
        <x:v>5</x:v>
      </x:c>
      <x:c r="L22" s="42" t="s">
        <x:v>73</x:v>
      </x:c>
      <x:c r="M22" s="45" t="s">
        <x:v>32</x:v>
      </x:c>
      <x:c r="N22" s="41">
        <x:v>46293.0</x:v>
      </x:c>
    </x:row>
    <x:row r="23" ht="54" customHeight="1">
      <x:c r="A23" s="37" t="s">
        <x:v>74</x:v>
      </x:c>
      <x:c r="B23" s="37" t="s">
        <x:v>25</x:v>
      </x:c>
      <x:c r="C23" s="37" t="s">
        <x:v>61</x:v>
      </x:c>
      <x:c r="D23" s="37" t="s">
        <x:v>75</x:v>
      </x:c>
      <x:c r="E23" s="37" t="s">
        <x:v>45</x:v>
      </x:c>
      <x:c r="F23" s="37" t="s">
        <x:v>45</x:v>
      </x:c>
      <x:c r="G23" s="37" t="s">
        <x:v>29</x:v>
      </x:c>
      <x:c r="H23" s="37" t="s">
        <x:v>29</x:v>
      </x:c>
      <x:c r="I23" s="37" t="s">
        <x:v>76</x:v>
      </x:c>
      <x:c r="J23" s="38" t="s">
        <x:v>76</x:v>
      </x:c>
      <x:c r="K23" s="39" t="s">
        <x:v>5</x:v>
      </x:c>
      <x:c r="L23" s="37" t="s">
        <x:v>77</x:v>
      </x:c>
      <x:c r="M23" s="40" t="s">
        <x:v>32</x:v>
      </x:c>
      <x:c r="N23" s="41">
        <x:v>46293.0</x:v>
      </x:c>
    </x:row>
    <x:row r="24" ht="54" customHeight="1">
      <x:c r="A24" s="42" t="s">
        <x:v>78</x:v>
      </x:c>
      <x:c r="B24" s="42" t="s">
        <x:v>25</x:v>
      </x:c>
      <x:c r="C24" s="42" t="s">
        <x:v>61</x:v>
      </x:c>
      <x:c r="D24" s="42" t="s">
        <x:v>75</x:v>
      </x:c>
      <x:c r="E24" s="42" t="s">
        <x:v>45</x:v>
      </x:c>
      <x:c r="F24" s="42" t="s">
        <x:v>45</x:v>
      </x:c>
      <x:c r="G24" s="42" t="s">
        <x:v>29</x:v>
      </x:c>
      <x:c r="H24" s="42" t="s">
        <x:v>34</x:v>
      </x:c>
      <x:c r="I24" s="42" t="s">
        <x:v>79</x:v>
      </x:c>
      <x:c r="J24" s="43" t="s">
        <x:v>80</x:v>
      </x:c>
      <x:c r="K24" s="44" t="s">
        <x:v>5</x:v>
      </x:c>
      <x:c r="L24" s="42" t="s">
        <x:v>81</x:v>
      </x:c>
      <x:c r="M24" s="45" t="s">
        <x:v>32</x:v>
      </x:c>
      <x:c r="N24" s="41">
        <x:v>46293.0</x:v>
      </x:c>
    </x:row>
    <x:row r="25" ht="54" customHeight="1">
      <x:c r="A25" s="37" t="s">
        <x:v>82</x:v>
      </x:c>
      <x:c r="B25" s="37" t="s">
        <x:v>25</x:v>
      </x:c>
      <x:c r="C25" s="37" t="s">
        <x:v>61</x:v>
      </x:c>
      <x:c r="D25" s="37" t="s">
        <x:v>75</x:v>
      </x:c>
      <x:c r="E25" s="37" t="s">
        <x:v>45</x:v>
      </x:c>
      <x:c r="F25" s="37" t="s">
        <x:v>45</x:v>
      </x:c>
      <x:c r="G25" s="37" t="s">
        <x:v>34</x:v>
      </x:c>
      <x:c r="H25" s="37" t="s">
        <x:v>29</x:v>
      </x:c>
      <x:c r="I25" s="37" t="s">
        <x:v>83</x:v>
      </x:c>
      <x:c r="J25" s="38" t="s">
        <x:v>83</x:v>
      </x:c>
      <x:c r="K25" s="39" t="s">
        <x:v>5</x:v>
      </x:c>
      <x:c r="L25" s="37" t="s">
        <x:v>84</x:v>
      </x:c>
      <x:c r="M25" s="40" t="s">
        <x:v>32</x:v>
      </x:c>
      <x:c r="N25" s="41">
        <x:v>46293.0</x:v>
      </x:c>
    </x:row>
    <x:row r="26" ht="54" customHeight="1">
      <x:c r="A26" s="42" t="s">
        <x:v>85</x:v>
      </x:c>
      <x:c r="B26" s="42" t="s">
        <x:v>25</x:v>
      </x:c>
      <x:c r="C26" s="42" t="s">
        <x:v>61</x:v>
      </x:c>
      <x:c r="D26" s="42" t="s">
        <x:v>75</x:v>
      </x:c>
      <x:c r="E26" s="42" t="s">
        <x:v>45</x:v>
      </x:c>
      <x:c r="F26" s="42" t="s">
        <x:v>45</x:v>
      </x:c>
      <x:c r="G26" s="42" t="s">
        <x:v>34</x:v>
      </x:c>
      <x:c r="H26" s="42" t="s">
        <x:v>34</x:v>
      </x:c>
      <x:c r="I26" s="42" t="s">
        <x:v>86</x:v>
      </x:c>
      <x:c r="J26" s="43" t="s">
        <x:v>86</x:v>
      </x:c>
      <x:c r="K26" s="44" t="s">
        <x:v>5</x:v>
      </x:c>
      <x:c r="L26" s="42" t="s">
        <x:v>87</x:v>
      </x:c>
      <x:c r="M26" s="45" t="s">
        <x:v>32</x:v>
      </x:c>
      <x:c r="N26" s="41">
        <x:v>46293.0</x:v>
      </x:c>
    </x:row>
    <x:row r="27" ht="54" customHeight="1">
      <x:c r="A27" s="37" t="s">
        <x:v>88</x:v>
      </x:c>
      <x:c r="B27" s="37" t="s">
        <x:v>25</x:v>
      </x:c>
      <x:c r="C27" s="37" t="s">
        <x:v>89</x:v>
      </x:c>
      <x:c r="D27" s="37" t="s">
        <x:v>90</x:v>
      </x:c>
      <x:c r="E27" s="37" t="s">
        <x:v>91</x:v>
      </x:c>
      <x:c r="F27" s="37" t="s">
        <x:v>28</x:v>
      </x:c>
      <x:c r="G27" s="37" t="s">
        <x:v>34</x:v>
      </x:c>
      <x:c r="H27" s="37" t="s">
        <x:v>29</x:v>
      </x:c>
      <x:c r="I27" s="37" t="s">
        <x:v>92</x:v>
      </x:c>
      <x:c r="J27" s="38" t="s">
        <x:v>92</x:v>
      </x:c>
      <x:c r="K27" s="39" t="s">
        <x:v>5</x:v>
      </x:c>
      <x:c r="L27" s="37" t="s">
        <x:v>93</x:v>
      </x:c>
      <x:c r="M27" s="40" t="s">
        <x:v>32</x:v>
      </x:c>
      <x:c r="N27" s="41">
        <x:v>46293.0</x:v>
      </x:c>
    </x:row>
    <x:row r="28" ht="54" customHeight="1">
      <x:c r="A28" s="42" t="s">
        <x:v>94</x:v>
      </x:c>
      <x:c r="B28" s="42" t="s">
        <x:v>25</x:v>
      </x:c>
      <x:c r="C28" s="42" t="s">
        <x:v>89</x:v>
      </x:c>
      <x:c r="D28" s="42" t="s">
        <x:v>90</x:v>
      </x:c>
      <x:c r="E28" s="42" t="s">
        <x:v>91</x:v>
      </x:c>
      <x:c r="F28" s="42" t="s">
        <x:v>28</x:v>
      </x:c>
      <x:c r="G28" s="42" t="s">
        <x:v>34</x:v>
      </x:c>
      <x:c r="H28" s="42" t="s">
        <x:v>34</x:v>
      </x:c>
      <x:c r="I28" s="42" t="s">
        <x:v>95</x:v>
      </x:c>
      <x:c r="J28" s="43" t="s">
        <x:v>95</x:v>
      </x:c>
      <x:c r="K28" s="44" t="s">
        <x:v>5</x:v>
      </x:c>
      <x:c r="L28" s="42" t="s">
        <x:v>96</x:v>
      </x:c>
      <x:c r="M28" s="45" t="s">
        <x:v>32</x:v>
      </x:c>
      <x:c r="N28" s="41">
        <x:v>46293.0</x:v>
      </x:c>
    </x:row>
    <x:row r="29" ht="54" customHeight="1">
      <x:c r="A29" s="37" t="s">
        <x:v>97</x:v>
      </x:c>
      <x:c r="B29" s="37" t="s">
        <x:v>25</x:v>
      </x:c>
      <x:c r="C29" s="37" t="s">
        <x:v>89</x:v>
      </x:c>
      <x:c r="D29" s="37" t="s">
        <x:v>90</x:v>
      </x:c>
      <x:c r="E29" s="37" t="s">
        <x:v>91</x:v>
      </x:c>
      <x:c r="F29" s="37" t="s">
        <x:v>28</x:v>
      </x:c>
      <x:c r="G29" s="37" t="s">
        <x:v>29</x:v>
      </x:c>
      <x:c r="H29" s="37" t="s">
        <x:v>29</x:v>
      </x:c>
      <x:c r="I29" s="37" t="s">
        <x:v>98</x:v>
      </x:c>
      <x:c r="J29" s="38" t="s">
        <x:v>99</x:v>
      </x:c>
      <x:c r="K29" s="39" t="s">
        <x:v>5</x:v>
      </x:c>
      <x:c r="L29" s="37" t="s">
        <x:v>100</x:v>
      </x:c>
      <x:c r="M29" s="40" t="s">
        <x:v>32</x:v>
      </x:c>
      <x:c r="N29" s="41">
        <x:v>46293.0</x:v>
      </x:c>
    </x:row>
    <x:row r="30" ht="54" customHeight="1">
      <x:c r="A30" s="42" t="s">
        <x:v>101</x:v>
      </x:c>
      <x:c r="B30" s="42" t="s">
        <x:v>25</x:v>
      </x:c>
      <x:c r="C30" s="42" t="s">
        <x:v>89</x:v>
      </x:c>
      <x:c r="D30" s="42" t="s">
        <x:v>90</x:v>
      </x:c>
      <x:c r="E30" s="42" t="s">
        <x:v>91</x:v>
      </x:c>
      <x:c r="F30" s="42" t="s">
        <x:v>28</x:v>
      </x:c>
      <x:c r="G30" s="42" t="s">
        <x:v>29</x:v>
      </x:c>
      <x:c r="H30" s="42" t="s">
        <x:v>34</x:v>
      </x:c>
      <x:c r="I30" s="42" t="s">
        <x:v>102</x:v>
      </x:c>
      <x:c r="J30" s="43" t="s">
        <x:v>102</x:v>
      </x:c>
      <x:c r="K30" s="44" t="s">
        <x:v>5</x:v>
      </x:c>
      <x:c r="L30" s="42" t="s">
        <x:v>103</x:v>
      </x:c>
      <x:c r="M30" s="45" t="s">
        <x:v>32</x:v>
      </x:c>
      <x:c r="N30" s="41">
        <x:v>46293.0</x:v>
      </x:c>
    </x:row>
    <x:row r="31" ht="54" customHeight="1">
      <x:c r="A31" s="37" t="s">
        <x:v>104</x:v>
      </x:c>
      <x:c r="B31" s="37" t="s">
        <x:v>25</x:v>
      </x:c>
      <x:c r="C31" s="37" t="s">
        <x:v>89</x:v>
      </x:c>
      <x:c r="D31" s="37" t="s">
        <x:v>105</x:v>
      </x:c>
      <x:c r="E31" s="37" t="s">
        <x:v>91</x:v>
      </x:c>
      <x:c r="F31" s="37" t="s">
        <x:v>45</x:v>
      </x:c>
      <x:c r="G31" s="37" t="s">
        <x:v>29</x:v>
      </x:c>
      <x:c r="H31" s="37" t="s">
        <x:v>29</x:v>
      </x:c>
      <x:c r="I31" s="37" t="s">
        <x:v>106</x:v>
      </x:c>
      <x:c r="J31" s="38" t="s">
        <x:v>106</x:v>
      </x:c>
      <x:c r="K31" s="39" t="s">
        <x:v>5</x:v>
      </x:c>
      <x:c r="L31" s="37" t="s">
        <x:v>107</x:v>
      </x:c>
      <x:c r="M31" s="40" t="s">
        <x:v>32</x:v>
      </x:c>
      <x:c r="N31" s="41">
        <x:v>46293.0</x:v>
      </x:c>
    </x:row>
    <x:row r="32" ht="54" customHeight="1">
      <x:c r="A32" s="42" t="s">
        <x:v>108</x:v>
      </x:c>
      <x:c r="B32" s="42" t="s">
        <x:v>25</x:v>
      </x:c>
      <x:c r="C32" s="42" t="s">
        <x:v>89</x:v>
      </x:c>
      <x:c r="D32" s="42" t="s">
        <x:v>105</x:v>
      </x:c>
      <x:c r="E32" s="42" t="s">
        <x:v>91</x:v>
      </x:c>
      <x:c r="F32" s="42" t="s">
        <x:v>45</x:v>
      </x:c>
      <x:c r="G32" s="42" t="s">
        <x:v>29</x:v>
      </x:c>
      <x:c r="H32" s="42" t="s">
        <x:v>34</x:v>
      </x:c>
      <x:c r="I32" s="42" t="s">
        <x:v>109</x:v>
      </x:c>
      <x:c r="J32" s="43" t="s">
        <x:v>109</x:v>
      </x:c>
      <x:c r="K32" s="44" t="s">
        <x:v>5</x:v>
      </x:c>
      <x:c r="L32" s="42" t="s">
        <x:v>110</x:v>
      </x:c>
      <x:c r="M32" s="45" t="s">
        <x:v>32</x:v>
      </x:c>
      <x:c r="N32" s="41">
        <x:v>46293.0</x:v>
      </x:c>
    </x:row>
    <x:row r="33" ht="54" customHeight="1">
      <x:c r="A33" s="37" t="s">
        <x:v>111</x:v>
      </x:c>
      <x:c r="B33" s="37" t="s">
        <x:v>25</x:v>
      </x:c>
      <x:c r="C33" s="37" t="s">
        <x:v>89</x:v>
      </x:c>
      <x:c r="D33" s="37" t="s">
        <x:v>105</x:v>
      </x:c>
      <x:c r="E33" s="37" t="s">
        <x:v>91</x:v>
      </x:c>
      <x:c r="F33" s="37" t="s">
        <x:v>45</x:v>
      </x:c>
      <x:c r="G33" s="37" t="s">
        <x:v>34</x:v>
      </x:c>
      <x:c r="H33" s="37" t="s">
        <x:v>29</x:v>
      </x:c>
      <x:c r="I33" s="37" t="s">
        <x:v>112</x:v>
      </x:c>
      <x:c r="J33" s="38" t="s">
        <x:v>112</x:v>
      </x:c>
      <x:c r="K33" s="39" t="s">
        <x:v>5</x:v>
      </x:c>
      <x:c r="L33" s="37" t="s">
        <x:v>113</x:v>
      </x:c>
      <x:c r="M33" s="40" t="s">
        <x:v>32</x:v>
      </x:c>
      <x:c r="N33" s="41">
        <x:v>46293.0</x:v>
      </x:c>
    </x:row>
    <x:row r="34" ht="54" customHeight="1">
      <x:c r="A34" s="42" t="s">
        <x:v>114</x:v>
      </x:c>
      <x:c r="B34" s="42" t="s">
        <x:v>25</x:v>
      </x:c>
      <x:c r="C34" s="42" t="s">
        <x:v>89</x:v>
      </x:c>
      <x:c r="D34" s="42" t="s">
        <x:v>105</x:v>
      </x:c>
      <x:c r="E34" s="42" t="s">
        <x:v>91</x:v>
      </x:c>
      <x:c r="F34" s="42" t="s">
        <x:v>45</x:v>
      </x:c>
      <x:c r="G34" s="42" t="s">
        <x:v>34</x:v>
      </x:c>
      <x:c r="H34" s="42" t="s">
        <x:v>34</x:v>
      </x:c>
      <x:c r="I34" s="42" t="s">
        <x:v>115</x:v>
      </x:c>
      <x:c r="J34" s="43" t="s">
        <x:v>115</x:v>
      </x:c>
      <x:c r="K34" s="44" t="s">
        <x:v>5</x:v>
      </x:c>
      <x:c r="L34" s="42" t="s">
        <x:v>116</x:v>
      </x:c>
      <x:c r="M34" s="45" t="s">
        <x:v>32</x:v>
      </x:c>
      <x:c r="N34" s="41">
        <x:v>46293.0</x:v>
      </x:c>
    </x:row>
    <x:row r="35" ht="54" customHeight="1">
      <x:c r="A35" s="37" t="s">
        <x:v>117</x:v>
      </x:c>
      <x:c r="B35" s="37" t="s">
        <x:v>25</x:v>
      </x:c>
      <x:c r="C35" s="37" t="s">
        <x:v>118</x:v>
      </x:c>
      <x:c r="D35" s="37" t="s">
        <x:v>119</x:v>
      </x:c>
      <x:c r="E35" s="37" t="s">
        <x:v>120</x:v>
      </x:c>
      <x:c r="F35" s="37" t="s">
        <x:v>28</x:v>
      </x:c>
      <x:c r="G35" s="37" t="s">
        <x:v>34</x:v>
      </x:c>
      <x:c r="H35" s="37" t="s">
        <x:v>29</x:v>
      </x:c>
      <x:c r="I35" s="37" t="s">
        <x:v>121</x:v>
      </x:c>
      <x:c r="J35" s="38" t="s">
        <x:v>121</x:v>
      </x:c>
      <x:c r="K35" s="39" t="s">
        <x:v>5</x:v>
      </x:c>
      <x:c r="L35" s="37" t="s">
        <x:v>122</x:v>
      </x:c>
      <x:c r="M35" s="40" t="s">
        <x:v>32</x:v>
      </x:c>
      <x:c r="N35" s="41">
        <x:v>46293.0</x:v>
      </x:c>
    </x:row>
    <x:row r="36" ht="54" customHeight="1">
      <x:c r="A36" s="42" t="s">
        <x:v>123</x:v>
      </x:c>
      <x:c r="B36" s="42" t="s">
        <x:v>25</x:v>
      </x:c>
      <x:c r="C36" s="42" t="s">
        <x:v>118</x:v>
      </x:c>
      <x:c r="D36" s="42" t="s">
        <x:v>119</x:v>
      </x:c>
      <x:c r="E36" s="42" t="s">
        <x:v>120</x:v>
      </x:c>
      <x:c r="F36" s="42" t="s">
        <x:v>28</x:v>
      </x:c>
      <x:c r="G36" s="42" t="s">
        <x:v>34</x:v>
      </x:c>
      <x:c r="H36" s="42" t="s">
        <x:v>34</x:v>
      </x:c>
      <x:c r="I36" s="42" t="s">
        <x:v>124</x:v>
      </x:c>
      <x:c r="J36" s="43" t="s">
        <x:v>124</x:v>
      </x:c>
      <x:c r="K36" s="44" t="s">
        <x:v>5</x:v>
      </x:c>
      <x:c r="L36" s="42" t="s">
        <x:v>125</x:v>
      </x:c>
      <x:c r="M36" s="45" t="s">
        <x:v>32</x:v>
      </x:c>
      <x:c r="N36" s="41">
        <x:v>46293.0</x:v>
      </x:c>
    </x:row>
    <x:row r="37" ht="54" customHeight="1">
      <x:c r="A37" s="37" t="s">
        <x:v>126</x:v>
      </x:c>
      <x:c r="B37" s="37" t="s">
        <x:v>25</x:v>
      </x:c>
      <x:c r="C37" s="37" t="s">
        <x:v>118</x:v>
      </x:c>
      <x:c r="D37" s="37" t="s">
        <x:v>119</x:v>
      </x:c>
      <x:c r="E37" s="37" t="s">
        <x:v>120</x:v>
      </x:c>
      <x:c r="F37" s="37" t="s">
        <x:v>28</x:v>
      </x:c>
      <x:c r="G37" s="37" t="s">
        <x:v>29</x:v>
      </x:c>
      <x:c r="H37" s="37" t="s">
        <x:v>29</x:v>
      </x:c>
      <x:c r="I37" s="37" t="s">
        <x:v>127</x:v>
      </x:c>
      <x:c r="J37" s="38" t="s">
        <x:v>127</x:v>
      </x:c>
      <x:c r="K37" s="39" t="s">
        <x:v>5</x:v>
      </x:c>
      <x:c r="L37" s="37" t="s">
        <x:v>128</x:v>
      </x:c>
      <x:c r="M37" s="40" t="s">
        <x:v>32</x:v>
      </x:c>
      <x:c r="N37" s="41">
        <x:v>46293.0</x:v>
      </x:c>
    </x:row>
    <x:row r="38" ht="54" customHeight="1">
      <x:c r="A38" s="42" t="s">
        <x:v>129</x:v>
      </x:c>
      <x:c r="B38" s="42" t="s">
        <x:v>25</x:v>
      </x:c>
      <x:c r="C38" s="42" t="s">
        <x:v>118</x:v>
      </x:c>
      <x:c r="D38" s="42" t="s">
        <x:v>119</x:v>
      </x:c>
      <x:c r="E38" s="42" t="s">
        <x:v>120</x:v>
      </x:c>
      <x:c r="F38" s="42" t="s">
        <x:v>28</x:v>
      </x:c>
      <x:c r="G38" s="42" t="s">
        <x:v>29</x:v>
      </x:c>
      <x:c r="H38" s="42" t="s">
        <x:v>34</x:v>
      </x:c>
      <x:c r="I38" s="42" t="s">
        <x:v>130</x:v>
      </x:c>
      <x:c r="J38" s="43" t="s">
        <x:v>130</x:v>
      </x:c>
      <x:c r="K38" s="44" t="s">
        <x:v>5</x:v>
      </x:c>
      <x:c r="L38" s="42" t="s">
        <x:v>131</x:v>
      </x:c>
      <x:c r="M38" s="45" t="s">
        <x:v>32</x:v>
      </x:c>
      <x:c r="N38" s="41">
        <x:v>46293.0</x:v>
      </x:c>
    </x:row>
    <x:row r="39" ht="54" customHeight="1">
      <x:c r="A39" s="37" t="s">
        <x:v>132</x:v>
      </x:c>
      <x:c r="B39" s="37" t="s">
        <x:v>25</x:v>
      </x:c>
      <x:c r="C39" s="37" t="s">
        <x:v>118</x:v>
      </x:c>
      <x:c r="D39" s="37" t="s">
        <x:v>133</x:v>
      </x:c>
      <x:c r="E39" s="37" t="s">
        <x:v>120</x:v>
      </x:c>
      <x:c r="F39" s="37" t="s">
        <x:v>45</x:v>
      </x:c>
      <x:c r="G39" s="37" t="s">
        <x:v>34</x:v>
      </x:c>
      <x:c r="H39" s="37" t="s">
        <x:v>29</x:v>
      </x:c>
      <x:c r="I39" s="37" t="s">
        <x:v>134</x:v>
      </x:c>
      <x:c r="J39" s="38" t="s">
        <x:v>134</x:v>
      </x:c>
      <x:c r="K39" s="39" t="s">
        <x:v>5</x:v>
      </x:c>
      <x:c r="L39" s="37" t="s">
        <x:v>135</x:v>
      </x:c>
      <x:c r="M39" s="40" t="s">
        <x:v>32</x:v>
      </x:c>
      <x:c r="N39" s="41">
        <x:v>46293.0</x:v>
      </x:c>
    </x:row>
    <x:row r="40" ht="54" customHeight="1">
      <x:c r="A40" s="42" t="s">
        <x:v>136</x:v>
      </x:c>
      <x:c r="B40" s="42" t="s">
        <x:v>25</x:v>
      </x:c>
      <x:c r="C40" s="42" t="s">
        <x:v>118</x:v>
      </x:c>
      <x:c r="D40" s="42" t="s">
        <x:v>133</x:v>
      </x:c>
      <x:c r="E40" s="42" t="s">
        <x:v>120</x:v>
      </x:c>
      <x:c r="F40" s="42" t="s">
        <x:v>45</x:v>
      </x:c>
      <x:c r="G40" s="42" t="s">
        <x:v>34</x:v>
      </x:c>
      <x:c r="H40" s="42" t="s">
        <x:v>34</x:v>
      </x:c>
      <x:c r="I40" s="42" t="s">
        <x:v>137</x:v>
      </x:c>
      <x:c r="J40" s="43" t="s">
        <x:v>137</x:v>
      </x:c>
      <x:c r="K40" s="44" t="s">
        <x:v>5</x:v>
      </x:c>
      <x:c r="L40" s="42" t="s">
        <x:v>138</x:v>
      </x:c>
      <x:c r="M40" s="45" t="s">
        <x:v>32</x:v>
      </x:c>
      <x:c r="N40" s="41">
        <x:v>46293.0</x:v>
      </x:c>
    </x:row>
    <x:row r="41" ht="54" customHeight="1">
      <x:c r="A41" s="37" t="s">
        <x:v>139</x:v>
      </x:c>
      <x:c r="B41" s="37" t="s">
        <x:v>25</x:v>
      </x:c>
      <x:c r="C41" s="37" t="s">
        <x:v>118</x:v>
      </x:c>
      <x:c r="D41" s="37" t="s">
        <x:v>133</x:v>
      </x:c>
      <x:c r="E41" s="37" t="s">
        <x:v>120</x:v>
      </x:c>
      <x:c r="F41" s="37" t="s">
        <x:v>45</x:v>
      </x:c>
      <x:c r="G41" s="37" t="s">
        <x:v>29</x:v>
      </x:c>
      <x:c r="H41" s="37" t="s">
        <x:v>29</x:v>
      </x:c>
      <x:c r="I41" s="37" t="s">
        <x:v>140</x:v>
      </x:c>
      <x:c r="J41" s="38" t="s">
        <x:v>140</x:v>
      </x:c>
      <x:c r="K41" s="39" t="s">
        <x:v>5</x:v>
      </x:c>
      <x:c r="L41" s="37" t="s">
        <x:v>141</x:v>
      </x:c>
      <x:c r="M41" s="40" t="s">
        <x:v>32</x:v>
      </x:c>
      <x:c r="N41" s="41">
        <x:v>46293.0</x:v>
      </x:c>
    </x:row>
    <x:row r="42" ht="54" customHeight="1">
      <x:c r="A42" s="42" t="s">
        <x:v>142</x:v>
      </x:c>
      <x:c r="B42" s="42" t="s">
        <x:v>25</x:v>
      </x:c>
      <x:c r="C42" s="42" t="s">
        <x:v>118</x:v>
      </x:c>
      <x:c r="D42" s="42" t="s">
        <x:v>133</x:v>
      </x:c>
      <x:c r="E42" s="42" t="s">
        <x:v>120</x:v>
      </x:c>
      <x:c r="F42" s="42" t="s">
        <x:v>45</x:v>
      </x:c>
      <x:c r="G42" s="42" t="s">
        <x:v>29</x:v>
      </x:c>
      <x:c r="H42" s="42" t="s">
        <x:v>34</x:v>
      </x:c>
      <x:c r="I42" s="42" t="s">
        <x:v>143</x:v>
      </x:c>
      <x:c r="J42" s="43" t="s">
        <x:v>144</x:v>
      </x:c>
      <x:c r="K42" s="44" t="s">
        <x:v>5</x:v>
      </x:c>
      <x:c r="L42" s="42" t="s">
        <x:v>145</x:v>
      </x:c>
      <x:c r="M42" s="45" t="s">
        <x:v>32</x:v>
      </x:c>
      <x:c r="N42" s="41">
        <x:v>46293.0</x:v>
      </x:c>
    </x:row>
    <x:row r="43" ht="54" customHeight="1">
      <x:c r="A43" s="46" t="s">
        <x:v>146</x:v>
      </x:c>
      <x:c r="B43" s="47" t="s">
        <x:v>147</x:v>
      </x:c>
      <x:c r="C43" s="47" t="s">
        <x:v>148</x:v>
      </x:c>
      <x:c r="D43" s="47" t="s">
        <x:v>149</x:v>
      </x:c>
      <x:c r="E43" s="47" t="s">
        <x:v>150</x:v>
      </x:c>
      <x:c r="F43" s="48"/>
      <x:c r="G43" s="48"/>
      <x:c r="H43" s="48"/>
      <x:c r="I43" s="47" t="s">
        <x:v>151</x:v>
      </x:c>
      <x:c r="J43" s="49" t="s">
        <x:v>152</x:v>
      </x:c>
      <x:c r="K43" s="50" t="s">
        <x:v>5</x:v>
      </x:c>
      <x:c r="L43" s="47" t="s">
        <x:v>153</x:v>
      </x:c>
      <x:c r="M43" s="50" t="s">
        <x:v>32</x:v>
      </x:c>
      <x:c r="N43" s="41">
        <x:v>46293.0</x:v>
      </x:c>
    </x:row>
    <x:row r="44" ht="54" customHeight="1">
      <x:c r="A44" s="46" t="s">
        <x:v>154</x:v>
      </x:c>
      <x:c r="B44" s="47" t="s">
        <x:v>155</x:v>
      </x:c>
      <x:c r="C44" s="47" t="s">
        <x:v>148</x:v>
      </x:c>
      <x:c r="D44" s="47" t="s">
        <x:v>156</x:v>
      </x:c>
      <x:c r="E44" s="47" t="s">
        <x:v>157</x:v>
      </x:c>
      <x:c r="F44" s="47" t="s">
        <x:v>28</x:v>
      </x:c>
      <x:c r="G44" s="47" t="s">
        <x:v>29</x:v>
      </x:c>
      <x:c r="H44" s="47" t="s">
        <x:v>29</x:v>
      </x:c>
      <x:c r="I44" s="47" t="s">
        <x:v>158</x:v>
      </x:c>
      <x:c r="J44" s="51" t="s">
        <x:v>159</x:v>
      </x:c>
      <x:c r="K44" s="50" t="s">
        <x:v>6</x:v>
      </x:c>
      <x:c r="L44" s="52" t="s">
        <x:v>160</x:v>
      </x:c>
      <x:c r="M44" s="50" t="s">
        <x:v>5</x:v>
      </x:c>
      <x:c r="N44" s="41">
        <x:v>46293.0</x:v>
      </x:c>
    </x:row>
    <x:row r="45" ht="54" customHeight="1">
      <x:c r="A45" s="46" t="s">
        <x:v>161</x:v>
      </x:c>
      <x:c r="B45" s="47" t="s">
        <x:v>147</x:v>
      </x:c>
      <x:c r="C45" s="47" t="s">
        <x:v>26</x:v>
      </x:c>
      <x:c r="D45" s="47" t="s">
        <x:v>162</x:v>
      </x:c>
      <x:c r="E45" s="47" t="s">
        <x:v>28</x:v>
      </x:c>
      <x:c r="F45" s="47" t="s">
        <x:v>91</x:v>
      </x:c>
      <x:c r="G45" s="48"/>
      <x:c r="H45" s="48"/>
      <x:c r="I45" s="47" t="s">
        <x:v>163</x:v>
      </x:c>
      <x:c r="J45" s="53" t="s">
        <x:v>164</x:v>
      </x:c>
      <x:c r="K45" s="50" t="s">
        <x:v>5</x:v>
      </x:c>
      <x:c r="L45" s="47" t="s">
        <x:v>165</x:v>
      </x:c>
      <x:c r="M45" s="54" t="s">
        <x:v>32</x:v>
      </x:c>
      <x:c r="N45" s="41">
        <x:v>46293.0</x:v>
      </x:c>
    </x:row>
    <x:row r="46" ht="54" customHeight="1">
      <x:c r="A46" s="46" t="s">
        <x:v>166</x:v>
      </x:c>
      <x:c r="B46" s="47" t="s">
        <x:v>147</x:v>
      </x:c>
      <x:c r="C46" s="47" t="s">
        <x:v>61</x:v>
      </x:c>
      <x:c r="D46" s="47" t="s">
        <x:v>162</x:v>
      </x:c>
      <x:c r="E46" s="47" t="s">
        <x:v>45</x:v>
      </x:c>
      <x:c r="F46" s="47" t="s">
        <x:v>91</x:v>
      </x:c>
      <x:c r="G46" s="48"/>
      <x:c r="H46" s="48"/>
      <x:c r="I46" s="47" t="s">
        <x:v>167</x:v>
      </x:c>
      <x:c r="J46" s="53" t="s">
        <x:v>168</x:v>
      </x:c>
      <x:c r="K46" s="50" t="s">
        <x:v>5</x:v>
      </x:c>
      <x:c r="L46" s="47" t="s">
        <x:v>169</x:v>
      </x:c>
      <x:c r="M46" s="54" t="s">
        <x:v>32</x:v>
      </x:c>
      <x:c r="N46" s="41">
        <x:v>46293.0</x:v>
      </x:c>
    </x:row>
    <x:row r="47" ht="54" customHeight="1">
      <x:c r="A47" s="46" t="s">
        <x:v>170</x:v>
      </x:c>
      <x:c r="B47" s="47" t="s">
        <x:v>147</x:v>
      </x:c>
      <x:c r="C47" s="47" t="s">
        <x:v>89</x:v>
      </x:c>
      <x:c r="D47" s="47" t="s">
        <x:v>162</x:v>
      </x:c>
      <x:c r="E47" s="47" t="s">
        <x:v>91</x:v>
      </x:c>
      <x:c r="F47" s="47" t="s">
        <x:v>91</x:v>
      </x:c>
      <x:c r="G47" s="48"/>
      <x:c r="H47" s="48"/>
      <x:c r="I47" s="47" t="s">
        <x:v>171</x:v>
      </x:c>
      <x:c r="J47" s="53" t="s">
        <x:v>171</x:v>
      </x:c>
      <x:c r="K47" s="50" t="s">
        <x:v>5</x:v>
      </x:c>
      <x:c r="L47" s="47" t="s">
        <x:v>169</x:v>
      </x:c>
      <x:c r="M47" s="54" t="s">
        <x:v>32</x:v>
      </x:c>
      <x:c r="N47" s="41">
        <x:v>46293.0</x:v>
      </x:c>
    </x:row>
    <x:row r="48" ht="54" customHeight="1">
      <x:c r="A48" s="46" t="s">
        <x:v>172</x:v>
      </x:c>
      <x:c r="B48" s="47" t="s">
        <x:v>147</x:v>
      </x:c>
      <x:c r="C48" s="47" t="s">
        <x:v>118</x:v>
      </x:c>
      <x:c r="D48" s="47" t="s">
        <x:v>162</x:v>
      </x:c>
      <x:c r="E48" s="47" t="s">
        <x:v>120</x:v>
      </x:c>
      <x:c r="F48" s="47" t="s">
        <x:v>91</x:v>
      </x:c>
      <x:c r="G48" s="48"/>
      <x:c r="H48" s="48"/>
      <x:c r="I48" s="47" t="s">
        <x:v>173</x:v>
      </x:c>
      <x:c r="J48" s="53" t="s">
        <x:v>173</x:v>
      </x:c>
      <x:c r="K48" s="50" t="s">
        <x:v>5</x:v>
      </x:c>
      <x:c r="L48" s="47" t="s">
        <x:v>169</x:v>
      </x:c>
      <x:c r="M48" s="54" t="s">
        <x:v>32</x:v>
      </x:c>
      <x:c r="N48" s="41">
        <x:v>46293.0</x:v>
      </x:c>
    </x:row>
    <x:row r="49" ht="54" customHeight="1">
      <x:c r="A49" s="46" t="s">
        <x:v>174</x:v>
      </x:c>
      <x:c r="B49" s="47" t="s">
        <x:v>155</x:v>
      </x:c>
      <x:c r="C49" s="47" t="s">
        <x:v>26</x:v>
      </x:c>
      <x:c r="D49" s="47" t="s">
        <x:v>175</x:v>
      </x:c>
      <x:c r="E49" s="47" t="s">
        <x:v>28</x:v>
      </x:c>
      <x:c r="F49" s="47" t="s">
        <x:v>28</x:v>
      </x:c>
      <x:c r="G49" s="47" t="s">
        <x:v>176</x:v>
      </x:c>
      <x:c r="H49" s="47" t="s">
        <x:v>29</x:v>
      </x:c>
      <x:c r="I49" s="47" t="s">
        <x:v>177</x:v>
      </x:c>
      <x:c r="J49" s="51" t="s">
        <x:v>38</x:v>
      </x:c>
      <x:c r="K49" s="50" t="s">
        <x:v>6</x:v>
      </x:c>
      <x:c r="L49" s="52" t="s">
        <x:v>178</x:v>
      </x:c>
      <x:c r="M49" s="50" t="s">
        <x:v>5</x:v>
      </x:c>
      <x:c r="N49" s="41">
        <x:v>46293.0</x:v>
      </x:c>
    </x:row>
    <x:row r="50" ht="54" customHeight="1">
      <x:c r="A50" s="55" t="s">
        <x:v>179</x:v>
      </x:c>
      <x:c r="B50" s="56" t="s">
        <x:v>155</x:v>
      </x:c>
      <x:c r="C50" s="56" t="s">
        <x:v>61</x:v>
      </x:c>
      <x:c r="D50" s="56" t="s">
        <x:v>180</x:v>
      </x:c>
      <x:c r="E50" s="56" t="s">
        <x:v>45</x:v>
      </x:c>
      <x:c r="F50" s="56" t="s">
        <x:v>45</x:v>
      </x:c>
      <x:c r="G50" s="56" t="s">
        <x:v>34</x:v>
      </x:c>
      <x:c r="H50" s="56" t="s">
        <x:v>181</x:v>
      </x:c>
      <x:c r="I50" s="56" t="s">
        <x:v>182</x:v>
      </x:c>
      <x:c r="J50" s="57" t="s">
        <x:v>83</x:v>
      </x:c>
      <x:c r="K50" s="58" t="s">
        <x:v>6</x:v>
      </x:c>
      <x:c r="L50" s="59" t="s">
        <x:v>183</x:v>
      </x:c>
      <x:c r="M50" s="58" t="s">
        <x:v>5</x:v>
      </x:c>
      <x:c r="N50" s="41">
        <x:v>46293.0</x:v>
      </x:c>
    </x:row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B3:N3"/>
    <x:mergeCell ref="A4:N4"/>
    <x:mergeCell ref="A5:N5"/>
  </x:mergeCells>
  <x:conditionalFormatting sqref="K11:K50">
    <x:cfRule type="containsText" dxfId="5" priority="1" operator="containsText" text="Pass">
      <x:formula>NOT(ISERROR(SEARCH(("Pass"),(K11))))</x:formula>
    </x:cfRule>
  </x:conditionalFormatting>
  <x:conditionalFormatting sqref="K11:K50">
    <x:cfRule type="containsText" dxfId="4" priority="2" operator="containsText" text="Fail">
      <x:formula>NOT(ISERROR(SEARCH(("Fail"),(K11))))</x:formula>
    </x:cfRule>
  </x:conditionalFormatting>
  <x:conditionalFormatting sqref="K11:K50">
    <x:cfRule type="containsText" dxfId="8" priority="3" operator="containsText" text="Blocked">
      <x:formula>NOT(ISERROR(SEARCH(("Blocked"),(K11))))</x:formula>
    </x:cfRule>
  </x:conditionalFormatting>
  <x:conditionalFormatting sqref="K11:K50">
    <x:cfRule type="containsText" dxfId="9" priority="4" operator="containsText" text="Not Tested">
      <x:formula>NOT(ISERROR(SEARCH(("Not Tested"),(K11))))</x:formula>
    </x:cfRule>
  </x:conditionalFormatting>
  <x:conditionalFormatting sqref="M11:M50">
    <x:cfRule type="containsText" dxfId="5" priority="5" operator="containsText" text="Pass">
      <x:formula>NOT(ISERROR(SEARCH(("Pass"),(M11))))</x:formula>
    </x:cfRule>
  </x:conditionalFormatting>
  <x:conditionalFormatting sqref="M11:M50">
    <x:cfRule type="containsText" dxfId="4" priority="6" operator="containsText" text="Fail">
      <x:formula>NOT(ISERROR(SEARCH(("Fail"),(M11))))</x:formula>
    </x:cfRule>
  </x:conditionalFormatting>
  <x:conditionalFormatting sqref="M11:M50">
    <x:cfRule type="containsText" dxfId="10" priority="7" operator="containsText" text="Pending">
      <x:formula>NOT(ISERROR(SEARCH(("Pending"),(M11))))</x:formula>
    </x:cfRule>
  </x:conditionalFormatting>
  <x:dataValidations count="4">
    <x:dataValidation type="list" allowBlank="1" showErrorMessage="1" sqref="K11:K50">
      <x:formula1>"Not Tested,Pass,Fail,Blocked"</x:formula1>
    </x:dataValidation>
    <x:dataValidation type="list" allowBlank="1" showErrorMessage="1" sqref="M11:M50">
      <x:formula1>"Not Needed,Pending,Pass,Fail"</x:formula1>
    </x:dataValidation>
    <x:dataValidation type="custom" allowBlank="1" showDropDown="1" sqref="N11:N50">
      <x:formula1>OR(NOT(ISERROR(DATEVALUE(N11))), AND(ISNUMBER(N11), LEFT(CELL("format", N11))="D"))</x:formula1>
    </x:dataValidation>
    <x:dataValidation allowBlank="1" showDropDown="1" sqref="A11:J50 L11:L50"/>
  </x:dataValidations>
  <x:pageMargins left="0.7" right="0.7" top="0.75" bottom="0.75" header="0.3" footer="0.3"/>
  <x:tableParts count="1">
    <x:tablePart xmlns:r="http://schemas.openxmlformats.org/officeDocument/2006/relationships" r:id="Re35bdc1612ba4efa"/>
  </x:tableParts>
</x:worksheet>
</file>

<file path=xl/worksheets/sheet2.xml><?xml version="1.0" encoding="utf-8"?>
<x:worksheet xmlns:x="http://schemas.openxmlformats.org/spreadsheetml/2006/main">
  <x:sheetPr>
    <x:tabColor rgb="FF6D6C2C"/>
  </x:sheetPr>
  <x:sheetViews>
    <x:sheetView showGridLines="0" workbookViewId="0">
      <x:pane ySplit="8" topLeftCell="A9" activePane="bottomLeft" state="frozen"/>
    </x:sheetView>
  </x:sheetViews>
  <x:sheetFormatPr defaultColWidth="12.630000114440918" defaultRowHeight="15"/>
  <x:cols>
    <x:col min="1" max="1" width="10.130000114440918" customWidth="1"/>
    <x:col min="2" max="2" width="13.880000114440918" customWidth="1"/>
    <x:col min="3" max="3" width="30.1299991607666" customWidth="1"/>
    <x:col min="4" max="4" width="41.380001068115234" customWidth="1"/>
    <x:col min="5" max="5" width="14.5" customWidth="1"/>
    <x:col min="6" max="6" width="21.3799991607666" customWidth="1"/>
    <x:col min="7" max="7" width="27.6299991607666" customWidth="1"/>
    <x:col min="8" max="8" width="13.25" customWidth="1"/>
  </x:cols>
  <x:sheetData>
    <x:row r="1">
      <x:c r="A1" s="1" t="s">
        <x:v>184</x:v>
      </x:c>
      <x:c r="B1" s="1" t="s">
        <x:v>184</x:v>
      </x:c>
      <x:c r="C1" s="1" t="s">
        <x:v>184</x:v>
      </x:c>
      <x:c r="D1" s="1" t="s">
        <x:v>184</x:v>
      </x:c>
      <x:c r="E1" s="1" t="s">
        <x:v>184</x:v>
      </x:c>
      <x:c r="F1" s="1" t="s">
        <x:v>184</x:v>
      </x:c>
      <x:c r="G1" s="1" t="s">
        <x:v>184</x:v>
      </x:c>
      <x:c r="H1" s="1" t="s">
        <x:v>184</x:v>
      </x:c>
    </x:row>
    <x:row r="2">
      <x:c r="A2" s="2" t="s">
        <x:v>185</x:v>
      </x:c>
      <x:c r="B2" s="3"/>
      <x:c r="C2" s="3"/>
      <x:c r="D2" s="3"/>
      <x:c r="E2" s="3"/>
      <x:c r="F2" s="3"/>
      <x:c r="G2" s="3"/>
      <x:c r="H2" s="3"/>
    </x:row>
    <x:row r="3">
      <x:c r="A3" s="4" t="s">
        <x:v>186</x:v>
      </x:c>
    </x:row>
    <x:row r="4">
      <x:c r="A4" s="5" t="s">
        <x:v>187</x:v>
      </x:c>
    </x:row>
    <x:row r="5">
      <x:c r="A5" s="1" t="s">
        <x:v>184</x:v>
      </x:c>
      <x:c r="B5" s="1" t="s">
        <x:v>184</x:v>
      </x:c>
      <x:c r="C5" s="1" t="s">
        <x:v>184</x:v>
      </x:c>
      <x:c r="D5" s="1" t="s">
        <x:v>184</x:v>
      </x:c>
      <x:c r="E5" s="1" t="s">
        <x:v>184</x:v>
      </x:c>
      <x:c r="F5" s="1" t="s">
        <x:v>184</x:v>
      </x:c>
      <x:c r="G5" s="1" t="s">
        <x:v>184</x:v>
      </x:c>
      <x:c r="H5" s="1" t="s">
        <x:v>184</x:v>
      </x:c>
    </x:row>
    <x:row r="6">
      <x:c r="A6" s="6" t="s">
        <x:v>188</x:v>
      </x:c>
      <x:c r="B6" s="6" t="s">
        <x:v>5</x:v>
      </x:c>
      <x:c r="C6" s="6" t="s">
        <x:v>189</x:v>
      </x:c>
      <x:c r="D6" s="6" t="s">
        <x:v>190</x:v>
      </x:c>
      <x:c r="E6" s="1" t="s">
        <x:v>184</x:v>
      </x:c>
      <x:c r="F6" s="1" t="s">
        <x:v>184</x:v>
      </x:c>
      <x:c r="G6" s="1" t="s">
        <x:v>184</x:v>
      </x:c>
      <x:c r="H6" s="1" t="s">
        <x:v>184</x:v>
      </x:c>
    </x:row>
    <x:row r="7">
      <x:c r="A7" s="7" t="n">
        <x:f>COUNTA(A9:A36)</x:f>
        <x:v>28</x:v>
      </x:c>
      <x:c r="B7" s="7" t="n">
        <x:f>COUNTIF(E9:E36,"Pass")</x:f>
        <x:v>28</x:v>
      </x:c>
      <x:c r="C7" s="7" t="n">
        <x:f>COUNTIF(E9:E36,"Needs Update")</x:f>
        <x:v>0</x:v>
      </x:c>
      <x:c r="D7" s="7" t="n">
        <x:f>COUNTIF(E9:E36,"Not Reviewed")</x:f>
        <x:v>0</x:v>
      </x:c>
      <x:c r="E7" s="1" t="s">
        <x:v>184</x:v>
      </x:c>
      <x:c r="F7" s="1" t="s">
        <x:v>184</x:v>
      </x:c>
      <x:c r="G7" s="1" t="s">
        <x:v>184</x:v>
      </x:c>
      <x:c r="H7" s="1" t="s">
        <x:v>184</x:v>
      </x:c>
    </x:row>
    <x:row r="8">
      <x:c r="A8" s="8" t="s">
        <x:v>191</x:v>
      </x:c>
      <x:c r="B8" s="8" t="s">
        <x:v>192</x:v>
      </x:c>
      <x:c r="C8" s="8" t="s">
        <x:v>193</x:v>
      </x:c>
      <x:c r="D8" s="8" t="s">
        <x:v>194</x:v>
      </x:c>
      <x:c r="E8" s="8" t="s">
        <x:v>20</x:v>
      </x:c>
      <x:c r="F8" s="8" t="s">
        <x:v>195</x:v>
      </x:c>
      <x:c r="G8" s="8" t="s">
        <x:v>196</x:v>
      </x:c>
      <x:c r="H8" s="8" t="s">
        <x:v>197</x:v>
      </x:c>
    </x:row>
    <x:row r="9" ht="40.5" customHeight="1">
      <x:c r="A9" s="9" t="s">
        <x:v>198</x:v>
      </x:c>
      <x:c r="B9" s="9" t="s">
        <x:v>199</x:v>
      </x:c>
      <x:c r="C9" s="9" t="s">
        <x:v>200</x:v>
      </x:c>
      <x:c r="D9" s="9" t="s">
        <x:v>201</x:v>
      </x:c>
      <x:c r="E9" s="12" t="s">
        <x:v>5</x:v>
      </x:c>
      <x:c r="F9" s="9" t="s">
        <x:v>202</x:v>
      </x:c>
      <x:c r="G9" s="9" t="s">
        <x:v>184</x:v>
      </x:c>
      <x:c r="H9" s="14">
        <x:v>46294.0</x:v>
      </x:c>
    </x:row>
    <x:row r="10" ht="40.5" customHeight="1">
      <x:c r="A10" s="15" t="s">
        <x:v>203</x:v>
      </x:c>
      <x:c r="B10" s="15" t="s">
        <x:v>199</x:v>
      </x:c>
      <x:c r="C10" s="15" t="s">
        <x:v>204</x:v>
      </x:c>
      <x:c r="D10" s="15" t="s">
        <x:v>205</x:v>
      </x:c>
      <x:c r="E10" s="18" t="s">
        <x:v>5</x:v>
      </x:c>
      <x:c r="F10" s="15" t="s">
        <x:v>202</x:v>
      </x:c>
      <x:c r="G10" s="15" t="s">
        <x:v>184</x:v>
      </x:c>
      <x:c r="H10" s="20">
        <x:v>46294.0</x:v>
      </x:c>
    </x:row>
    <x:row r="11" ht="40.5" customHeight="1">
      <x:c r="A11" s="9" t="s">
        <x:v>206</x:v>
      </x:c>
      <x:c r="B11" s="9" t="s">
        <x:v>199</x:v>
      </x:c>
      <x:c r="C11" s="9" t="s">
        <x:v>207</x:v>
      </x:c>
      <x:c r="D11" s="9" t="s">
        <x:v>208</x:v>
      </x:c>
      <x:c r="E11" s="12" t="s">
        <x:v>5</x:v>
      </x:c>
      <x:c r="F11" s="9" t="s">
        <x:v>202</x:v>
      </x:c>
      <x:c r="G11" s="9" t="s">
        <x:v>184</x:v>
      </x:c>
      <x:c r="H11" s="14">
        <x:v>46294.0</x:v>
      </x:c>
    </x:row>
    <x:row r="12" ht="40.5" customHeight="1">
      <x:c r="A12" s="15" t="s">
        <x:v>209</x:v>
      </x:c>
      <x:c r="B12" s="15" t="s">
        <x:v>199</x:v>
      </x:c>
      <x:c r="C12" s="15" t="s">
        <x:v>210</x:v>
      </x:c>
      <x:c r="D12" s="15" t="s">
        <x:v>211</x:v>
      </x:c>
      <x:c r="E12" s="18" t="s">
        <x:v>5</x:v>
      </x:c>
      <x:c r="F12" s="15" t="s">
        <x:v>202</x:v>
      </x:c>
      <x:c r="G12" s="15" t="s">
        <x:v>184</x:v>
      </x:c>
      <x:c r="H12" s="20">
        <x:v>46294.0</x:v>
      </x:c>
    </x:row>
    <x:row r="13" ht="40.5" customHeight="1">
      <x:c r="A13" s="9" t="s">
        <x:v>212</x:v>
      </x:c>
      <x:c r="B13" s="9" t="s">
        <x:v>199</x:v>
      </x:c>
      <x:c r="C13" s="9" t="s">
        <x:v>213</x:v>
      </x:c>
      <x:c r="D13" s="9" t="s">
        <x:v>214</x:v>
      </x:c>
      <x:c r="E13" s="12" t="s">
        <x:v>5</x:v>
      </x:c>
      <x:c r="F13" s="9" t="s">
        <x:v>202</x:v>
      </x:c>
      <x:c r="G13" s="9" t="s">
        <x:v>184</x:v>
      </x:c>
      <x:c r="H13" s="14">
        <x:v>46294.0</x:v>
      </x:c>
    </x:row>
    <x:row r="14" ht="40.5" customHeight="1">
      <x:c r="A14" s="15" t="s">
        <x:v>215</x:v>
      </x:c>
      <x:c r="B14" s="15" t="s">
        <x:v>199</x:v>
      </x:c>
      <x:c r="C14" s="15" t="s">
        <x:v>216</x:v>
      </x:c>
      <x:c r="D14" s="15" t="s">
        <x:v>217</x:v>
      </x:c>
      <x:c r="E14" s="18" t="s">
        <x:v>5</x:v>
      </x:c>
      <x:c r="F14" s="15" t="s">
        <x:v>202</x:v>
      </x:c>
      <x:c r="G14" s="15" t="s">
        <x:v>184</x:v>
      </x:c>
      <x:c r="H14" s="20">
        <x:v>46294.0</x:v>
      </x:c>
    </x:row>
    <x:row r="15" ht="40.5" customHeight="1">
      <x:c r="A15" s="9" t="s">
        <x:v>218</x:v>
      </x:c>
      <x:c r="B15" s="9" t="s">
        <x:v>199</x:v>
      </x:c>
      <x:c r="C15" s="9" t="s">
        <x:v>219</x:v>
      </x:c>
      <x:c r="D15" s="9" t="s">
        <x:v>220</x:v>
      </x:c>
      <x:c r="E15" s="12" t="s">
        <x:v>5</x:v>
      </x:c>
      <x:c r="F15" s="9" t="s">
        <x:v>202</x:v>
      </x:c>
      <x:c r="G15" s="9" t="s">
        <x:v>184</x:v>
      </x:c>
      <x:c r="H15" s="14">
        <x:v>46294.0</x:v>
      </x:c>
    </x:row>
    <x:row r="16" ht="40.5" customHeight="1">
      <x:c r="A16" s="15" t="s">
        <x:v>221</x:v>
      </x:c>
      <x:c r="B16" s="15" t="s">
        <x:v>199</x:v>
      </x:c>
      <x:c r="C16" s="15" t="s">
        <x:v>222</x:v>
      </x:c>
      <x:c r="D16" s="15" t="s">
        <x:v>223</x:v>
      </x:c>
      <x:c r="E16" s="18" t="s">
        <x:v>5</x:v>
      </x:c>
      <x:c r="F16" s="15" t="s">
        <x:v>202</x:v>
      </x:c>
      <x:c r="G16" s="15" t="s">
        <x:v>184</x:v>
      </x:c>
      <x:c r="H16" s="20">
        <x:v>46294.0</x:v>
      </x:c>
    </x:row>
    <x:row r="17" ht="40.5" customHeight="1">
      <x:c r="A17" s="9" t="s">
        <x:v>224</x:v>
      </x:c>
      <x:c r="B17" s="9" t="s">
        <x:v>199</x:v>
      </x:c>
      <x:c r="C17" s="9" t="s">
        <x:v>225</x:v>
      </x:c>
      <x:c r="D17" s="9" t="s">
        <x:v>226</x:v>
      </x:c>
      <x:c r="E17" s="12" t="s">
        <x:v>5</x:v>
      </x:c>
      <x:c r="F17" s="9" t="s">
        <x:v>202</x:v>
      </x:c>
      <x:c r="G17" s="9" t="s">
        <x:v>184</x:v>
      </x:c>
      <x:c r="H17" s="14">
        <x:v>46294.0</x:v>
      </x:c>
    </x:row>
    <x:row r="18" ht="40.5" customHeight="1">
      <x:c r="A18" s="15" t="s">
        <x:v>227</x:v>
      </x:c>
      <x:c r="B18" s="15" t="s">
        <x:v>199</x:v>
      </x:c>
      <x:c r="C18" s="15" t="s">
        <x:v>228</x:v>
      </x:c>
      <x:c r="D18" s="15" t="s">
        <x:v>229</x:v>
      </x:c>
      <x:c r="E18" s="18" t="s">
        <x:v>5</x:v>
      </x:c>
      <x:c r="F18" s="15" t="s">
        <x:v>202</x:v>
      </x:c>
      <x:c r="G18" s="15" t="s">
        <x:v>184</x:v>
      </x:c>
      <x:c r="H18" s="20">
        <x:v>46294.0</x:v>
      </x:c>
    </x:row>
    <x:row r="19" ht="40.5" customHeight="1">
      <x:c r="A19" s="9" t="s">
        <x:v>230</x:v>
      </x:c>
      <x:c r="B19" s="9" t="s">
        <x:v>199</x:v>
      </x:c>
      <x:c r="C19" s="9" t="s">
        <x:v>231</x:v>
      </x:c>
      <x:c r="D19" s="9" t="s">
        <x:v>232</x:v>
      </x:c>
      <x:c r="E19" s="12" t="s">
        <x:v>5</x:v>
      </x:c>
      <x:c r="F19" s="9" t="s">
        <x:v>202</x:v>
      </x:c>
      <x:c r="G19" s="9" t="s">
        <x:v>184</x:v>
      </x:c>
      <x:c r="H19" s="14">
        <x:v>46294.0</x:v>
      </x:c>
    </x:row>
    <x:row r="20" ht="40.5" customHeight="1">
      <x:c r="A20" s="15" t="s">
        <x:v>233</x:v>
      </x:c>
      <x:c r="B20" s="15" t="s">
        <x:v>199</x:v>
      </x:c>
      <x:c r="C20" s="15" t="s">
        <x:v>234</x:v>
      </x:c>
      <x:c r="D20" s="15" t="s">
        <x:v>235</x:v>
      </x:c>
      <x:c r="E20" s="18" t="s">
        <x:v>5</x:v>
      </x:c>
      <x:c r="F20" s="15" t="s">
        <x:v>202</x:v>
      </x:c>
      <x:c r="G20" s="15" t="s">
        <x:v>184</x:v>
      </x:c>
      <x:c r="H20" s="20">
        <x:v>46294.0</x:v>
      </x:c>
    </x:row>
    <x:row r="21" ht="40.5" customHeight="1">
      <x:c r="A21" s="9" t="s">
        <x:v>236</x:v>
      </x:c>
      <x:c r="B21" s="9" t="s">
        <x:v>26</x:v>
      </x:c>
      <x:c r="C21" s="9" t="s">
        <x:v>237</x:v>
      </x:c>
      <x:c r="D21" s="9" t="s">
        <x:v>238</x:v>
      </x:c>
      <x:c r="E21" s="12" t="s">
        <x:v>5</x:v>
      </x:c>
      <x:c r="F21" s="9" t="s">
        <x:v>239</x:v>
      </x:c>
      <x:c r="G21" s="9" t="s">
        <x:v>184</x:v>
      </x:c>
      <x:c r="H21" s="14">
        <x:v>46294.0</x:v>
      </x:c>
    </x:row>
    <x:row r="22" ht="40.5" customHeight="1">
      <x:c r="A22" s="15" t="s">
        <x:v>240</x:v>
      </x:c>
      <x:c r="B22" s="15" t="s">
        <x:v>26</x:v>
      </x:c>
      <x:c r="C22" s="15" t="s">
        <x:v>241</x:v>
      </x:c>
      <x:c r="D22" s="15" t="s">
        <x:v>242</x:v>
      </x:c>
      <x:c r="E22" s="18" t="s">
        <x:v>5</x:v>
      </x:c>
      <x:c r="F22" s="15" t="s">
        <x:v>239</x:v>
      </x:c>
      <x:c r="G22" s="15" t="s">
        <x:v>184</x:v>
      </x:c>
      <x:c r="H22" s="20">
        <x:v>46294.0</x:v>
      </x:c>
    </x:row>
    <x:row r="23" ht="40.5" customHeight="1">
      <x:c r="A23" s="9" t="s">
        <x:v>243</x:v>
      </x:c>
      <x:c r="B23" s="9" t="s">
        <x:v>26</x:v>
      </x:c>
      <x:c r="C23" s="9" t="s">
        <x:v>244</x:v>
      </x:c>
      <x:c r="D23" s="9" t="s">
        <x:v>245</x:v>
      </x:c>
      <x:c r="E23" s="12" t="s">
        <x:v>5</x:v>
      </x:c>
      <x:c r="F23" s="9" t="s">
        <x:v>239</x:v>
      </x:c>
      <x:c r="G23" s="9" t="s">
        <x:v>184</x:v>
      </x:c>
      <x:c r="H23" s="14">
        <x:v>46294.0</x:v>
      </x:c>
    </x:row>
    <x:row r="24" ht="40.5" customHeight="1">
      <x:c r="A24" s="15" t="s">
        <x:v>246</x:v>
      </x:c>
      <x:c r="B24" s="15" t="s">
        <x:v>26</x:v>
      </x:c>
      <x:c r="C24" s="15" t="s">
        <x:v>247</x:v>
      </x:c>
      <x:c r="D24" s="15" t="s">
        <x:v>248</x:v>
      </x:c>
      <x:c r="E24" s="18" t="s">
        <x:v>5</x:v>
      </x:c>
      <x:c r="F24" s="15" t="s">
        <x:v>239</x:v>
      </x:c>
      <x:c r="G24" s="15" t="s">
        <x:v>184</x:v>
      </x:c>
      <x:c r="H24" s="20">
        <x:v>46294.0</x:v>
      </x:c>
    </x:row>
    <x:row r="25" ht="40.5" customHeight="1">
      <x:c r="A25" s="9" t="s">
        <x:v>249</x:v>
      </x:c>
      <x:c r="B25" s="9" t="s">
        <x:v>61</x:v>
      </x:c>
      <x:c r="C25" s="9" t="s">
        <x:v>237</x:v>
      </x:c>
      <x:c r="D25" s="9" t="s">
        <x:v>250</x:v>
      </x:c>
      <x:c r="E25" s="12" t="s">
        <x:v>5</x:v>
      </x:c>
      <x:c r="F25" s="9" t="s">
        <x:v>251</x:v>
      </x:c>
      <x:c r="G25" s="9" t="s">
        <x:v>184</x:v>
      </x:c>
      <x:c r="H25" s="14">
        <x:v>46294.0</x:v>
      </x:c>
    </x:row>
    <x:row r="26" ht="40.5" customHeight="1">
      <x:c r="A26" s="15" t="s">
        <x:v>252</x:v>
      </x:c>
      <x:c r="B26" s="15" t="s">
        <x:v>61</x:v>
      </x:c>
      <x:c r="C26" s="15" t="s">
        <x:v>241</x:v>
      </x:c>
      <x:c r="D26" s="15" t="s">
        <x:v>253</x:v>
      </x:c>
      <x:c r="E26" s="18" t="s">
        <x:v>5</x:v>
      </x:c>
      <x:c r="F26" s="15" t="s">
        <x:v>251</x:v>
      </x:c>
      <x:c r="G26" s="15" t="s">
        <x:v>184</x:v>
      </x:c>
      <x:c r="H26" s="20">
        <x:v>46294.0</x:v>
      </x:c>
    </x:row>
    <x:row r="27" ht="40.5" customHeight="1">
      <x:c r="A27" s="9" t="s">
        <x:v>254</x:v>
      </x:c>
      <x:c r="B27" s="9" t="s">
        <x:v>61</x:v>
      </x:c>
      <x:c r="C27" s="9" t="s">
        <x:v>244</x:v>
      </x:c>
      <x:c r="D27" s="9" t="s">
        <x:v>255</x:v>
      </x:c>
      <x:c r="E27" s="12" t="s">
        <x:v>5</x:v>
      </x:c>
      <x:c r="F27" s="9" t="s">
        <x:v>251</x:v>
      </x:c>
      <x:c r="G27" s="9" t="s">
        <x:v>184</x:v>
      </x:c>
      <x:c r="H27" s="14">
        <x:v>46294.0</x:v>
      </x:c>
    </x:row>
    <x:row r="28" ht="40.5" customHeight="1">
      <x:c r="A28" s="15" t="s">
        <x:v>256</x:v>
      </x:c>
      <x:c r="B28" s="15" t="s">
        <x:v>61</x:v>
      </x:c>
      <x:c r="C28" s="15" t="s">
        <x:v>257</x:v>
      </x:c>
      <x:c r="D28" s="15" t="s">
        <x:v>248</x:v>
      </x:c>
      <x:c r="E28" s="18" t="s">
        <x:v>5</x:v>
      </x:c>
      <x:c r="F28" s="15" t="s">
        <x:v>251</x:v>
      </x:c>
      <x:c r="G28" s="15" t="s">
        <x:v>184</x:v>
      </x:c>
      <x:c r="H28" s="20">
        <x:v>46294.0</x:v>
      </x:c>
    </x:row>
    <x:row r="29" ht="40.5" customHeight="1">
      <x:c r="A29" s="9" t="s">
        <x:v>258</x:v>
      </x:c>
      <x:c r="B29" s="9" t="s">
        <x:v>89</x:v>
      </x:c>
      <x:c r="C29" s="9" t="s">
        <x:v>237</x:v>
      </x:c>
      <x:c r="D29" s="9" t="s">
        <x:v>259</x:v>
      </x:c>
      <x:c r="E29" s="12" t="s">
        <x:v>5</x:v>
      </x:c>
      <x:c r="F29" s="9" t="s">
        <x:v>260</x:v>
      </x:c>
      <x:c r="G29" s="9" t="s">
        <x:v>184</x:v>
      </x:c>
      <x:c r="H29" s="14">
        <x:v>46294.0</x:v>
      </x:c>
    </x:row>
    <x:row r="30" ht="40.5" customHeight="1">
      <x:c r="A30" s="15" t="s">
        <x:v>261</x:v>
      </x:c>
      <x:c r="B30" s="15" t="s">
        <x:v>89</x:v>
      </x:c>
      <x:c r="C30" s="15" t="s">
        <x:v>241</x:v>
      </x:c>
      <x:c r="D30" s="15" t="s">
        <x:v>262</x:v>
      </x:c>
      <x:c r="E30" s="18" t="s">
        <x:v>5</x:v>
      </x:c>
      <x:c r="F30" s="15" t="s">
        <x:v>260</x:v>
      </x:c>
      <x:c r="G30" s="15" t="s">
        <x:v>184</x:v>
      </x:c>
      <x:c r="H30" s="20">
        <x:v>46294.0</x:v>
      </x:c>
    </x:row>
    <x:row r="31" ht="40.5" customHeight="1">
      <x:c r="A31" s="9" t="s">
        <x:v>263</x:v>
      </x:c>
      <x:c r="B31" s="9" t="s">
        <x:v>89</x:v>
      </x:c>
      <x:c r="C31" s="9" t="s">
        <x:v>244</x:v>
      </x:c>
      <x:c r="D31" s="9" t="s">
        <x:v>264</x:v>
      </x:c>
      <x:c r="E31" s="12" t="s">
        <x:v>5</x:v>
      </x:c>
      <x:c r="F31" s="9" t="s">
        <x:v>260</x:v>
      </x:c>
      <x:c r="G31" s="9" t="s">
        <x:v>184</x:v>
      </x:c>
      <x:c r="H31" s="14">
        <x:v>46294.0</x:v>
      </x:c>
    </x:row>
    <x:row r="32" ht="40.5" customHeight="1">
      <x:c r="A32" s="15" t="s">
        <x:v>265</x:v>
      </x:c>
      <x:c r="B32" s="15" t="s">
        <x:v>89</x:v>
      </x:c>
      <x:c r="C32" s="15" t="s">
        <x:v>266</x:v>
      </x:c>
      <x:c r="D32" s="15" t="s">
        <x:v>248</x:v>
      </x:c>
      <x:c r="E32" s="18" t="s">
        <x:v>5</x:v>
      </x:c>
      <x:c r="F32" s="15" t="s">
        <x:v>260</x:v>
      </x:c>
      <x:c r="G32" s="15" t="s">
        <x:v>184</x:v>
      </x:c>
      <x:c r="H32" s="20">
        <x:v>46294.0</x:v>
      </x:c>
    </x:row>
    <x:row r="33" ht="40.5" customHeight="1">
      <x:c r="A33" s="9" t="s">
        <x:v>267</x:v>
      </x:c>
      <x:c r="B33" s="9" t="s">
        <x:v>118</x:v>
      </x:c>
      <x:c r="C33" s="9" t="s">
        <x:v>237</x:v>
      </x:c>
      <x:c r="D33" s="9" t="s">
        <x:v>268</x:v>
      </x:c>
      <x:c r="E33" s="12" t="s">
        <x:v>5</x:v>
      </x:c>
      <x:c r="F33" s="9" t="s">
        <x:v>269</x:v>
      </x:c>
      <x:c r="G33" s="9" t="s">
        <x:v>184</x:v>
      </x:c>
      <x:c r="H33" s="14">
        <x:v>46294.0</x:v>
      </x:c>
    </x:row>
    <x:row r="34" ht="40.5" customHeight="1">
      <x:c r="A34" s="15" t="s">
        <x:v>270</x:v>
      </x:c>
      <x:c r="B34" s="15" t="s">
        <x:v>118</x:v>
      </x:c>
      <x:c r="C34" s="15" t="s">
        <x:v>241</x:v>
      </x:c>
      <x:c r="D34" s="15" t="s">
        <x:v>271</x:v>
      </x:c>
      <x:c r="E34" s="18" t="s">
        <x:v>5</x:v>
      </x:c>
      <x:c r="F34" s="15" t="s">
        <x:v>269</x:v>
      </x:c>
      <x:c r="G34" s="15" t="s">
        <x:v>184</x:v>
      </x:c>
      <x:c r="H34" s="20">
        <x:v>46294.0</x:v>
      </x:c>
    </x:row>
    <x:row r="35" ht="40.5" customHeight="1">
      <x:c r="A35" s="9" t="s">
        <x:v>272</x:v>
      </x:c>
      <x:c r="B35" s="9" t="s">
        <x:v>118</x:v>
      </x:c>
      <x:c r="C35" s="9" t="s">
        <x:v>244</x:v>
      </x:c>
      <x:c r="D35" s="9" t="s">
        <x:v>273</x:v>
      </x:c>
      <x:c r="E35" s="12" t="s">
        <x:v>5</x:v>
      </x:c>
      <x:c r="F35" s="9" t="s">
        <x:v>269</x:v>
      </x:c>
      <x:c r="G35" s="9" t="s">
        <x:v>184</x:v>
      </x:c>
      <x:c r="H35" s="14">
        <x:v>46294.0</x:v>
      </x:c>
    </x:row>
    <x:row r="36" ht="40.5" customHeight="1">
      <x:c r="A36" s="15" t="s">
        <x:v>274</x:v>
      </x:c>
      <x:c r="B36" s="15" t="s">
        <x:v>118</x:v>
      </x:c>
      <x:c r="C36" s="15" t="s">
        <x:v>275</x:v>
      </x:c>
      <x:c r="D36" s="15" t="s">
        <x:v>248</x:v>
      </x:c>
      <x:c r="E36" s="18" t="s">
        <x:v>5</x:v>
      </x:c>
      <x:c r="F36" s="15" t="s">
        <x:v>269</x:v>
      </x:c>
      <x:c r="G36" s="15" t="s">
        <x:v>184</x:v>
      </x:c>
      <x:c r="H36" s="20">
        <x:v>46294.0</x:v>
      </x:c>
    </x:row>
  </x:sheetData>
  <x:mergeCells>
    <x:mergeCell ref="A2:H2"/>
    <x:mergeCell ref="A3:H3"/>
    <x:mergeCell ref="A4:H4"/>
  </x:mergeCells>
  <x:conditionalFormatting sqref="E9:E36">
    <x:cfRule type="containsText" dxfId="3" priority="1" stopIfTrue="1" operator="containsText" text="Not Reviewed">
      <x:formula>NOT(ISERROR(SEARCH(("Not Reviewed"),(E9))))</x:formula>
    </x:cfRule>
  </x:conditionalFormatting>
  <x:conditionalFormatting sqref="E9:E36">
    <x:cfRule type="containsText" dxfId="4" priority="2" stopIfTrue="1" operator="containsText" text="Needs Update">
      <x:formula>NOT(ISERROR(SEARCH(("Needs Update"),(E9))))</x:formula>
    </x:cfRule>
  </x:conditionalFormatting>
  <x:conditionalFormatting sqref="E9:E36">
    <x:cfRule type="containsText" dxfId="5" priority="3" stopIfTrue="1" operator="containsText" text="Pass">
      <x:formula>NOT(ISERROR(SEARCH(("Pass"),(E9))))</x:formula>
    </x:cfRule>
  </x:conditionalFormatting>
  <x:dataValidations count="1">
    <x:dataValidation type="list" allowBlank="1" showErrorMessage="1" sqref="E9:E36">
      <x:formula1>"Not Reviewed,Pass,Needs Update,N/A"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2A3749"/>
  </x:sheetPr>
  <x:sheetViews>
    <x:sheetView showGridLines="0" workbookViewId="0">
      <x:pane ySplit="8" topLeftCell="A9" activePane="bottomLeft" state="frozen"/>
    </x:sheetView>
  </x:sheetViews>
  <x:sheetFormatPr defaultColWidth="12.630000114440918" defaultRowHeight="15"/>
  <x:cols>
    <x:col min="1" max="1" width="10.130000114440918" customWidth="1"/>
    <x:col min="2" max="3" width="15.130000114440918" customWidth="1"/>
    <x:col min="4" max="4" width="21.3799991607666" customWidth="1"/>
    <x:col min="5" max="5" width="45.130001068115234" customWidth="1"/>
    <x:col min="6" max="6" width="37.630001068115234" customWidth="1"/>
    <x:col min="7" max="7" width="32.630001068115234" customWidth="1"/>
    <x:col min="8" max="8" width="13.25" customWidth="1"/>
    <x:col min="9" max="9" width="18.8799991607666" customWidth="1"/>
    <x:col min="10" max="10" width="27.6299991607666" customWidth="1"/>
    <x:col min="11" max="11" width="13.25" customWidth="1"/>
  </x:cols>
  <x:sheetData>
    <x:row r="1">
      <x:c r="A1" s="1" t="s">
        <x:v>184</x:v>
      </x:c>
      <x:c r="B1" s="1" t="s">
        <x:v>184</x:v>
      </x:c>
      <x:c r="C1" s="1" t="s">
        <x:v>184</x:v>
      </x:c>
      <x:c r="D1" s="1" t="s">
        <x:v>184</x:v>
      </x:c>
      <x:c r="E1" s="1" t="s">
        <x:v>184</x:v>
      </x:c>
      <x:c r="F1" s="1" t="s">
        <x:v>184</x:v>
      </x:c>
      <x:c r="G1" s="1" t="s">
        <x:v>184</x:v>
      </x:c>
      <x:c r="H1" s="1" t="s">
        <x:v>184</x:v>
      </x:c>
      <x:c r="I1" s="1" t="s">
        <x:v>184</x:v>
      </x:c>
      <x:c r="J1" s="1" t="s">
        <x:v>184</x:v>
      </x:c>
      <x:c r="K1" s="1" t="s">
        <x:v>184</x:v>
      </x:c>
    </x:row>
    <x:row r="2">
      <x:c r="A2" s="2" t="s">
        <x:v>276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</x:row>
    <x:row r="3">
      <x:c r="A3" s="4" t="s">
        <x:v>277</x:v>
      </x:c>
    </x:row>
    <x:row r="4">
      <x:c r="A4" s="5" t="s">
        <x:v>278</x:v>
      </x:c>
    </x:row>
    <x:row r="5">
      <x:c r="A5" s="1" t="s">
        <x:v>184</x:v>
      </x:c>
      <x:c r="B5" s="1" t="s">
        <x:v>184</x:v>
      </x:c>
      <x:c r="C5" s="1" t="s">
        <x:v>184</x:v>
      </x:c>
      <x:c r="D5" s="1" t="s">
        <x:v>184</x:v>
      </x:c>
      <x:c r="E5" s="1" t="s">
        <x:v>184</x:v>
      </x:c>
      <x:c r="F5" s="1" t="s">
        <x:v>184</x:v>
      </x:c>
      <x:c r="G5" s="1" t="s">
        <x:v>184</x:v>
      </x:c>
      <x:c r="H5" s="1" t="s">
        <x:v>184</x:v>
      </x:c>
      <x:c r="I5" s="1" t="s">
        <x:v>184</x:v>
      </x:c>
      <x:c r="J5" s="1" t="s">
        <x:v>184</x:v>
      </x:c>
      <x:c r="K5" s="1" t="s">
        <x:v>184</x:v>
      </x:c>
    </x:row>
    <x:row r="6">
      <x:c r="A6" s="6" t="s">
        <x:v>4</x:v>
      </x:c>
      <x:c r="B6" s="6" t="s">
        <x:v>5</x:v>
      </x:c>
      <x:c r="C6" s="6" t="s">
        <x:v>6</x:v>
      </x:c>
      <x:c r="D6" s="6" t="s">
        <x:v>7</x:v>
      </x:c>
      <x:c r="E6" s="6" t="s">
        <x:v>8</x:v>
      </x:c>
      <x:c r="F6" s="6" t="s">
        <x:v>9</x:v>
      </x:c>
      <x:c r="G6" s="1" t="s">
        <x:v>184</x:v>
      </x:c>
      <x:c r="H6" s="1" t="s">
        <x:v>184</x:v>
      </x:c>
      <x:c r="I6" s="1" t="s">
        <x:v>184</x:v>
      </x:c>
      <x:c r="J6" s="1" t="s">
        <x:v>184</x:v>
      </x:c>
      <x:c r="K6" s="1" t="s">
        <x:v>184</x:v>
      </x:c>
    </x:row>
    <x:row r="7">
      <x:c r="A7" s="7" t="n">
        <x:f>COUNTA(A9:A48)</x:f>
        <x:v>40</x:v>
      </x:c>
      <x:c r="B7" s="7" t="n">
        <x:f>COUNTIF(H9:H48,"Pass")</x:f>
        <x:v>40</x:v>
      </x:c>
      <x:c r="C7" s="7" t="n">
        <x:f>COUNTIF(H9:H48,"Fail")</x:f>
        <x:v>0</x:v>
      </x:c>
      <x:c r="D7" s="7" t="n">
        <x:f>COUNTIF(H9:H48,"Blocked")</x:f>
        <x:v>0</x:v>
      </x:c>
      <x:c r="E7" s="7" t="n">
        <x:f>COUNTIF(H9:H48,"Not Tested")</x:f>
        <x:v>0</x:v>
      </x:c>
      <x:c r="F7" s="10" t="n">
        <x:f>IF(A7=0,0,(B7+C7+D7)/A7)</x:f>
        <x:v>1</x:v>
      </x:c>
      <x:c r="G7" s="1" t="s">
        <x:v>184</x:v>
      </x:c>
      <x:c r="H7" s="1" t="s">
        <x:v>184</x:v>
      </x:c>
      <x:c r="I7" s="1" t="s">
        <x:v>184</x:v>
      </x:c>
      <x:c r="J7" s="1" t="s">
        <x:v>184</x:v>
      </x:c>
      <x:c r="K7" s="1" t="s">
        <x:v>184</x:v>
      </x:c>
    </x:row>
    <x:row r="8">
      <x:c r="A8" s="8" t="s">
        <x:v>10</x:v>
      </x:c>
      <x:c r="B8" s="8" t="s">
        <x:v>279</x:v>
      </x:c>
      <x:c r="C8" s="8" t="s">
        <x:v>12</x:v>
      </x:c>
      <x:c r="D8" s="8" t="s">
        <x:v>280</x:v>
      </x:c>
      <x:c r="E8" s="8" t="s">
        <x:v>281</x:v>
      </x:c>
      <x:c r="F8" s="8" t="s">
        <x:v>282</x:v>
      </x:c>
      <x:c r="G8" s="8" t="s">
        <x:v>283</x:v>
      </x:c>
      <x:c r="H8" s="8" t="s">
        <x:v>20</x:v>
      </x:c>
      <x:c r="I8" s="8" t="s">
        <x:v>284</x:v>
      </x:c>
      <x:c r="J8" s="8" t="s">
        <x:v>21</x:v>
      </x:c>
      <x:c r="K8" s="8" t="s">
        <x:v>23</x:v>
      </x:c>
    </x:row>
    <x:row r="9" ht="54" customHeight="1">
      <x:c r="A9" s="9" t="s">
        <x:v>285</x:v>
      </x:c>
      <x:c r="B9" s="9" t="s">
        <x:v>286</x:v>
      </x:c>
      <x:c r="C9" s="9" t="s">
        <x:v>26</x:v>
      </x:c>
      <x:c r="D9" s="9" t="s">
        <x:v>27</x:v>
      </x:c>
      <x:c r="E9" s="9" t="s">
        <x:v>287</x:v>
      </x:c>
      <x:c r="F9" s="9" t="s">
        <x:v>288</x:v>
      </x:c>
      <x:c r="G9" s="16" t="s">
        <x:v>289</x:v>
      </x:c>
      <x:c r="H9" s="12" t="s">
        <x:v>5</x:v>
      </x:c>
      <x:c r="I9" s="21">
        <x:v>0.41041666666666665</x:v>
      </x:c>
      <x:c r="J9" s="9" t="s">
        <x:v>184</x:v>
      </x:c>
      <x:c r="K9" s="14">
        <x:v>46294.0</x:v>
      </x:c>
    </x:row>
    <x:row r="10" ht="54" customHeight="1">
      <x:c r="A10" s="15" t="s">
        <x:v>290</x:v>
      </x:c>
      <x:c r="B10" s="15" t="s">
        <x:v>286</x:v>
      </x:c>
      <x:c r="C10" s="15" t="s">
        <x:v>26</x:v>
      </x:c>
      <x:c r="D10" s="15" t="s">
        <x:v>27</x:v>
      </x:c>
      <x:c r="E10" s="15" t="s">
        <x:v>291</x:v>
      </x:c>
      <x:c r="F10" s="15" t="s">
        <x:v>292</x:v>
      </x:c>
      <x:c r="G10" s="26" t="s">
        <x:v>293</x:v>
      </x:c>
      <x:c r="H10" s="18" t="s">
        <x:v>5</x:v>
      </x:c>
      <x:c r="I10" s="28">
        <x:v>0.4125</x:v>
      </x:c>
      <x:c r="J10" s="15" t="s">
        <x:v>184</x:v>
      </x:c>
      <x:c r="K10" s="20">
        <x:v>46294.0</x:v>
      </x:c>
    </x:row>
    <x:row r="11" ht="54" customHeight="1">
      <x:c r="A11" s="9" t="s">
        <x:v>294</x:v>
      </x:c>
      <x:c r="B11" s="9" t="s">
        <x:v>286</x:v>
      </x:c>
      <x:c r="C11" s="9" t="s">
        <x:v>26</x:v>
      </x:c>
      <x:c r="D11" s="9" t="s">
        <x:v>27</x:v>
      </x:c>
      <x:c r="E11" s="9" t="s">
        <x:v>295</x:v>
      </x:c>
      <x:c r="F11" s="9" t="s">
        <x:v>288</x:v>
      </x:c>
      <x:c r="G11" s="16" t="s">
        <x:v>289</x:v>
      </x:c>
      <x:c r="H11" s="12" t="s">
        <x:v>5</x:v>
      </x:c>
      <x:c r="I11" s="21">
        <x:v>0.41388888888888886</x:v>
      </x:c>
      <x:c r="J11" s="9" t="s">
        <x:v>184</x:v>
      </x:c>
      <x:c r="K11" s="14">
        <x:v>46294.0</x:v>
      </x:c>
    </x:row>
    <x:row r="12" ht="54" customHeight="1">
      <x:c r="A12" s="15" t="s">
        <x:v>296</x:v>
      </x:c>
      <x:c r="B12" s="15" t="s">
        <x:v>286</x:v>
      </x:c>
      <x:c r="C12" s="15" t="s">
        <x:v>26</x:v>
      </x:c>
      <x:c r="D12" s="15" t="s">
        <x:v>27</x:v>
      </x:c>
      <x:c r="E12" s="15" t="s">
        <x:v>297</x:v>
      </x:c>
      <x:c r="F12" s="15" t="s">
        <x:v>292</x:v>
      </x:c>
      <x:c r="G12" s="26" t="s">
        <x:v>293</x:v>
      </x:c>
      <x:c r="H12" s="18" t="s">
        <x:v>5</x:v>
      </x:c>
      <x:c r="I12" s="28">
        <x:v>0.41458333333333336</x:v>
      </x:c>
      <x:c r="J12" s="15" t="s">
        <x:v>184</x:v>
      </x:c>
      <x:c r="K12" s="20">
        <x:v>46294.0</x:v>
      </x:c>
    </x:row>
    <x:row r="13" ht="54" customHeight="1">
      <x:c r="A13" s="9" t="s">
        <x:v>298</x:v>
      </x:c>
      <x:c r="B13" s="9" t="s">
        <x:v>286</x:v>
      </x:c>
      <x:c r="C13" s="9" t="s">
        <x:v>26</x:v>
      </x:c>
      <x:c r="D13" s="9" t="s">
        <x:v>44</x:v>
      </x:c>
      <x:c r="E13" s="9" t="s">
        <x:v>299</x:v>
      </x:c>
      <x:c r="F13" s="9" t="s">
        <x:v>288</x:v>
      </x:c>
      <x:c r="G13" s="16" t="s">
        <x:v>289</x:v>
      </x:c>
      <x:c r="H13" s="12" t="s">
        <x:v>5</x:v>
      </x:c>
      <x:c r="I13" s="21">
        <x:v>0.4152777777777778</x:v>
      </x:c>
      <x:c r="J13" s="9" t="s">
        <x:v>184</x:v>
      </x:c>
      <x:c r="K13" s="14">
        <x:v>46294.0</x:v>
      </x:c>
    </x:row>
    <x:row r="14" ht="54" customHeight="1">
      <x:c r="A14" s="15" t="s">
        <x:v>300</x:v>
      </x:c>
      <x:c r="B14" s="15" t="s">
        <x:v>286</x:v>
      </x:c>
      <x:c r="C14" s="15" t="s">
        <x:v>26</x:v>
      </x:c>
      <x:c r="D14" s="15" t="s">
        <x:v>44</x:v>
      </x:c>
      <x:c r="E14" s="15" t="s">
        <x:v>301</x:v>
      </x:c>
      <x:c r="F14" s="15" t="s">
        <x:v>292</x:v>
      </x:c>
      <x:c r="G14" s="26" t="s">
        <x:v>293</x:v>
      </x:c>
      <x:c r="H14" s="18" t="s">
        <x:v>5</x:v>
      </x:c>
      <x:c r="I14" s="28">
        <x:v>0.41597222222222224</x:v>
      </x:c>
      <x:c r="J14" s="15" t="s">
        <x:v>184</x:v>
      </x:c>
      <x:c r="K14" s="20">
        <x:v>46294.0</x:v>
      </x:c>
    </x:row>
    <x:row r="15" ht="54" customHeight="1">
      <x:c r="A15" s="9" t="s">
        <x:v>302</x:v>
      </x:c>
      <x:c r="B15" s="9" t="s">
        <x:v>286</x:v>
      </x:c>
      <x:c r="C15" s="9" t="s">
        <x:v>26</x:v>
      </x:c>
      <x:c r="D15" s="9" t="s">
        <x:v>44</x:v>
      </x:c>
      <x:c r="E15" s="9" t="s">
        <x:v>303</x:v>
      </x:c>
      <x:c r="F15" s="9" t="s">
        <x:v>288</x:v>
      </x:c>
      <x:c r="G15" s="16" t="s">
        <x:v>289</x:v>
      </x:c>
      <x:c r="H15" s="12" t="s">
        <x:v>5</x:v>
      </x:c>
      <x:c r="I15" s="21">
        <x:v>0.4222222222222222</x:v>
      </x:c>
      <x:c r="J15" s="9" t="s">
        <x:v>184</x:v>
      </x:c>
      <x:c r="K15" s="14">
        <x:v>46294.0</x:v>
      </x:c>
    </x:row>
    <x:row r="16" ht="54" customHeight="1">
      <x:c r="A16" s="15" t="s">
        <x:v>304</x:v>
      </x:c>
      <x:c r="B16" s="15" t="s">
        <x:v>286</x:v>
      </x:c>
      <x:c r="C16" s="15" t="s">
        <x:v>26</x:v>
      </x:c>
      <x:c r="D16" s="15" t="s">
        <x:v>44</x:v>
      </x:c>
      <x:c r="E16" s="15" t="s">
        <x:v>305</x:v>
      </x:c>
      <x:c r="F16" s="15" t="s">
        <x:v>292</x:v>
      </x:c>
      <x:c r="G16" s="26" t="s">
        <x:v>293</x:v>
      </x:c>
      <x:c r="H16" s="18" t="s">
        <x:v>5</x:v>
      </x:c>
      <x:c r="I16" s="28">
        <x:v>0.42291666666666666</x:v>
      </x:c>
      <x:c r="J16" s="15" t="s">
        <x:v>184</x:v>
      </x:c>
      <x:c r="K16" s="20">
        <x:v>46294.0</x:v>
      </x:c>
    </x:row>
    <x:row r="17" ht="54" customHeight="1">
      <x:c r="A17" s="9" t="s">
        <x:v>306</x:v>
      </x:c>
      <x:c r="B17" s="9" t="s">
        <x:v>286</x:v>
      </x:c>
      <x:c r="C17" s="9" t="s">
        <x:v>61</x:v>
      </x:c>
      <x:c r="D17" s="9" t="s">
        <x:v>307</x:v>
      </x:c>
      <x:c r="E17" s="9" t="s">
        <x:v>308</x:v>
      </x:c>
      <x:c r="F17" s="9" t="s">
        <x:v>288</x:v>
      </x:c>
      <x:c r="G17" s="16" t="s">
        <x:v>289</x:v>
      </x:c>
      <x:c r="H17" s="12" t="s">
        <x:v>5</x:v>
      </x:c>
      <x:c r="I17" s="21">
        <x:v>0.43333333333333335</x:v>
      </x:c>
      <x:c r="J17" s="9" t="s">
        <x:v>184</x:v>
      </x:c>
      <x:c r="K17" s="14">
        <x:v>46294.0</x:v>
      </x:c>
    </x:row>
    <x:row r="18" ht="54" customHeight="1">
      <x:c r="A18" s="15" t="s">
        <x:v>309</x:v>
      </x:c>
      <x:c r="B18" s="15" t="s">
        <x:v>286</x:v>
      </x:c>
      <x:c r="C18" s="15" t="s">
        <x:v>61</x:v>
      </x:c>
      <x:c r="D18" s="15" t="s">
        <x:v>307</x:v>
      </x:c>
      <x:c r="E18" s="15" t="s">
        <x:v>310</x:v>
      </x:c>
      <x:c r="F18" s="15" t="s">
        <x:v>292</x:v>
      </x:c>
      <x:c r="G18" s="26" t="s">
        <x:v>293</x:v>
      </x:c>
      <x:c r="H18" s="18" t="s">
        <x:v>5</x:v>
      </x:c>
      <x:c r="I18" s="28">
        <x:v>0.4340277777777778</x:v>
      </x:c>
      <x:c r="J18" s="15" t="s">
        <x:v>184</x:v>
      </x:c>
      <x:c r="K18" s="20">
        <x:v>46294.0</x:v>
      </x:c>
    </x:row>
    <x:row r="19" ht="54" customHeight="1">
      <x:c r="A19" s="9" t="s">
        <x:v>311</x:v>
      </x:c>
      <x:c r="B19" s="9" t="s">
        <x:v>286</x:v>
      </x:c>
      <x:c r="C19" s="9" t="s">
        <x:v>61</x:v>
      </x:c>
      <x:c r="D19" s="9" t="s">
        <x:v>307</x:v>
      </x:c>
      <x:c r="E19" s="9" t="s">
        <x:v>312</x:v>
      </x:c>
      <x:c r="F19" s="9" t="s">
        <x:v>288</x:v>
      </x:c>
      <x:c r="G19" s="16" t="s">
        <x:v>289</x:v>
      </x:c>
      <x:c r="H19" s="12" t="s">
        <x:v>5</x:v>
      </x:c>
      <x:c r="I19" s="21">
        <x:v>0.4354166666666667</x:v>
      </x:c>
      <x:c r="J19" s="9" t="s">
        <x:v>184</x:v>
      </x:c>
      <x:c r="K19" s="14">
        <x:v>46294.0</x:v>
      </x:c>
    </x:row>
    <x:row r="20" ht="54" customHeight="1">
      <x:c r="A20" s="15" t="s">
        <x:v>313</x:v>
      </x:c>
      <x:c r="B20" s="15" t="s">
        <x:v>286</x:v>
      </x:c>
      <x:c r="C20" s="15" t="s">
        <x:v>61</x:v>
      </x:c>
      <x:c r="D20" s="15" t="s">
        <x:v>307</x:v>
      </x:c>
      <x:c r="E20" s="15" t="s">
        <x:v>314</x:v>
      </x:c>
      <x:c r="F20" s="15" t="s">
        <x:v>292</x:v>
      </x:c>
      <x:c r="G20" s="26" t="s">
        <x:v>293</x:v>
      </x:c>
      <x:c r="H20" s="18" t="s">
        <x:v>5</x:v>
      </x:c>
      <x:c r="I20" s="28">
        <x:v>0.4361111111111111</x:v>
      </x:c>
      <x:c r="J20" s="15" t="s">
        <x:v>184</x:v>
      </x:c>
      <x:c r="K20" s="20">
        <x:v>46294.0</x:v>
      </x:c>
    </x:row>
    <x:row r="21" ht="54" customHeight="1">
      <x:c r="A21" s="9" t="s">
        <x:v>315</x:v>
      </x:c>
      <x:c r="B21" s="9" t="s">
        <x:v>286</x:v>
      </x:c>
      <x:c r="C21" s="9" t="s">
        <x:v>61</x:v>
      </x:c>
      <x:c r="D21" s="9" t="s">
        <x:v>75</x:v>
      </x:c>
      <x:c r="E21" s="9" t="s">
        <x:v>316</x:v>
      </x:c>
      <x:c r="F21" s="9" t="s">
        <x:v>288</x:v>
      </x:c>
      <x:c r="G21" s="16" t="s">
        <x:v>289</x:v>
      </x:c>
      <x:c r="H21" s="12" t="s">
        <x:v>5</x:v>
      </x:c>
      <x:c r="I21" s="21">
        <x:v>0.44027777777777777</x:v>
      </x:c>
      <x:c r="J21" s="9" t="s">
        <x:v>184</x:v>
      </x:c>
      <x:c r="K21" s="14">
        <x:v>46294.0</x:v>
      </x:c>
    </x:row>
    <x:row r="22" ht="54" customHeight="1">
      <x:c r="A22" s="15" t="s">
        <x:v>317</x:v>
      </x:c>
      <x:c r="B22" s="15" t="s">
        <x:v>286</x:v>
      </x:c>
      <x:c r="C22" s="15" t="s">
        <x:v>61</x:v>
      </x:c>
      <x:c r="D22" s="15" t="s">
        <x:v>75</x:v>
      </x:c>
      <x:c r="E22" s="15" t="s">
        <x:v>318</x:v>
      </x:c>
      <x:c r="F22" s="15" t="s">
        <x:v>292</x:v>
      </x:c>
      <x:c r="G22" s="26" t="s">
        <x:v>293</x:v>
      </x:c>
      <x:c r="H22" s="18" t="s">
        <x:v>5</x:v>
      </x:c>
      <x:c r="I22" s="28">
        <x:v>0.4409722222222222</x:v>
      </x:c>
      <x:c r="J22" s="15" t="s">
        <x:v>184</x:v>
      </x:c>
      <x:c r="K22" s="20">
        <x:v>46294.0</x:v>
      </x:c>
    </x:row>
    <x:row r="23" ht="54" customHeight="1">
      <x:c r="A23" s="9" t="s">
        <x:v>319</x:v>
      </x:c>
      <x:c r="B23" s="9" t="s">
        <x:v>286</x:v>
      </x:c>
      <x:c r="C23" s="9" t="s">
        <x:v>61</x:v>
      </x:c>
      <x:c r="D23" s="9" t="s">
        <x:v>75</x:v>
      </x:c>
      <x:c r="E23" s="9" t="s">
        <x:v>320</x:v>
      </x:c>
      <x:c r="F23" s="9" t="s">
        <x:v>288</x:v>
      </x:c>
      <x:c r="G23" s="16" t="s">
        <x:v>289</x:v>
      </x:c>
      <x:c r="H23" s="12" t="s">
        <x:v>5</x:v>
      </x:c>
      <x:c r="I23" s="21">
        <x:v>0.4444444444444444</x:v>
      </x:c>
      <x:c r="J23" s="9" t="s">
        <x:v>184</x:v>
      </x:c>
      <x:c r="K23" s="14">
        <x:v>46294.0</x:v>
      </x:c>
    </x:row>
    <x:row r="24" ht="54" customHeight="1">
      <x:c r="A24" s="15" t="s">
        <x:v>321</x:v>
      </x:c>
      <x:c r="B24" s="15" t="s">
        <x:v>286</x:v>
      </x:c>
      <x:c r="C24" s="15" t="s">
        <x:v>61</x:v>
      </x:c>
      <x:c r="D24" s="15" t="s">
        <x:v>75</x:v>
      </x:c>
      <x:c r="E24" s="15" t="s">
        <x:v>322</x:v>
      </x:c>
      <x:c r="F24" s="15" t="s">
        <x:v>292</x:v>
      </x:c>
      <x:c r="G24" s="26" t="s">
        <x:v>293</x:v>
      </x:c>
      <x:c r="H24" s="18" t="s">
        <x:v>5</x:v>
      </x:c>
      <x:c r="I24" s="28">
        <x:v>0.44513888888888886</x:v>
      </x:c>
      <x:c r="J24" s="15" t="s">
        <x:v>184</x:v>
      </x:c>
      <x:c r="K24" s="20">
        <x:v>46294.0</x:v>
      </x:c>
    </x:row>
    <x:row r="25" ht="54" customHeight="1">
      <x:c r="A25" s="9" t="s">
        <x:v>323</x:v>
      </x:c>
      <x:c r="B25" s="9" t="s">
        <x:v>286</x:v>
      </x:c>
      <x:c r="C25" s="9" t="s">
        <x:v>89</x:v>
      </x:c>
      <x:c r="D25" s="9" t="s">
        <x:v>90</x:v>
      </x:c>
      <x:c r="E25" s="9" t="s">
        <x:v>324</x:v>
      </x:c>
      <x:c r="F25" s="9" t="s">
        <x:v>288</x:v>
      </x:c>
      <x:c r="G25" s="16" t="s">
        <x:v>289</x:v>
      </x:c>
      <x:c r="H25" s="12" t="s">
        <x:v>5</x:v>
      </x:c>
      <x:c r="I25" s="21">
        <x:v>0.8833333333333333</x:v>
      </x:c>
      <x:c r="J25" s="9" t="s">
        <x:v>184</x:v>
      </x:c>
      <x:c r="K25" s="14">
        <x:v>46294.0</x:v>
      </x:c>
    </x:row>
    <x:row r="26" ht="54" customHeight="1">
      <x:c r="A26" s="15" t="s">
        <x:v>325</x:v>
      </x:c>
      <x:c r="B26" s="15" t="s">
        <x:v>286</x:v>
      </x:c>
      <x:c r="C26" s="15" t="s">
        <x:v>89</x:v>
      </x:c>
      <x:c r="D26" s="15" t="s">
        <x:v>90</x:v>
      </x:c>
      <x:c r="E26" s="15" t="s">
        <x:v>326</x:v>
      </x:c>
      <x:c r="F26" s="15" t="s">
        <x:v>292</x:v>
      </x:c>
      <x:c r="G26" s="26" t="s">
        <x:v>293</x:v>
      </x:c>
      <x:c r="H26" s="18" t="s">
        <x:v>5</x:v>
      </x:c>
      <x:c r="I26" s="28">
        <x:v>0.8840277777777777</x:v>
      </x:c>
      <x:c r="J26" s="15" t="s">
        <x:v>184</x:v>
      </x:c>
      <x:c r="K26" s="20">
        <x:v>46294.0</x:v>
      </x:c>
    </x:row>
    <x:row r="27" ht="54" customHeight="1">
      <x:c r="A27" s="9" t="s">
        <x:v>327</x:v>
      </x:c>
      <x:c r="B27" s="9" t="s">
        <x:v>286</x:v>
      </x:c>
      <x:c r="C27" s="9" t="s">
        <x:v>89</x:v>
      </x:c>
      <x:c r="D27" s="9" t="s">
        <x:v>90</x:v>
      </x:c>
      <x:c r="E27" s="9" t="s">
        <x:v>328</x:v>
      </x:c>
      <x:c r="F27" s="9" t="s">
        <x:v>288</x:v>
      </x:c>
      <x:c r="G27" s="16" t="s">
        <x:v>289</x:v>
      </x:c>
      <x:c r="H27" s="12" t="s">
        <x:v>5</x:v>
      </x:c>
      <x:c r="I27" s="21">
        <x:v>0.8847222222222222</x:v>
      </x:c>
      <x:c r="J27" s="9" t="s">
        <x:v>184</x:v>
      </x:c>
      <x:c r="K27" s="14">
        <x:v>46294.0</x:v>
      </x:c>
    </x:row>
    <x:row r="28" ht="54" customHeight="1">
      <x:c r="A28" s="15" t="s">
        <x:v>329</x:v>
      </x:c>
      <x:c r="B28" s="15" t="s">
        <x:v>286</x:v>
      </x:c>
      <x:c r="C28" s="15" t="s">
        <x:v>89</x:v>
      </x:c>
      <x:c r="D28" s="15" t="s">
        <x:v>90</x:v>
      </x:c>
      <x:c r="E28" s="15" t="s">
        <x:v>330</x:v>
      </x:c>
      <x:c r="F28" s="15" t="s">
        <x:v>292</x:v>
      </x:c>
      <x:c r="G28" s="26" t="s">
        <x:v>293</x:v>
      </x:c>
      <x:c r="H28" s="18" t="s">
        <x:v>5</x:v>
      </x:c>
      <x:c r="I28" s="28">
        <x:v>0.8854166666666666</x:v>
      </x:c>
      <x:c r="J28" s="15" t="s">
        <x:v>184</x:v>
      </x:c>
      <x:c r="K28" s="20">
        <x:v>46294.0</x:v>
      </x:c>
    </x:row>
    <x:row r="29" ht="54" customHeight="1">
      <x:c r="A29" s="9" t="s">
        <x:v>331</x:v>
      </x:c>
      <x:c r="B29" s="9" t="s">
        <x:v>286</x:v>
      </x:c>
      <x:c r="C29" s="9" t="s">
        <x:v>89</x:v>
      </x:c>
      <x:c r="D29" s="9" t="s">
        <x:v>105</x:v>
      </x:c>
      <x:c r="E29" s="9" t="s">
        <x:v>332</x:v>
      </x:c>
      <x:c r="F29" s="9" t="s">
        <x:v>288</x:v>
      </x:c>
      <x:c r="G29" s="16" t="s">
        <x:v>289</x:v>
      </x:c>
      <x:c r="H29" s="12" t="s">
        <x:v>5</x:v>
      </x:c>
      <x:c r="I29" s="21">
        <x:v>0.8861111111111111</x:v>
      </x:c>
      <x:c r="J29" s="9" t="s">
        <x:v>184</x:v>
      </x:c>
      <x:c r="K29" s="14">
        <x:v>46294.0</x:v>
      </x:c>
    </x:row>
    <x:row r="30" ht="54" customHeight="1">
      <x:c r="A30" s="15" t="s">
        <x:v>333</x:v>
      </x:c>
      <x:c r="B30" s="15" t="s">
        <x:v>286</x:v>
      </x:c>
      <x:c r="C30" s="15" t="s">
        <x:v>89</x:v>
      </x:c>
      <x:c r="D30" s="15" t="s">
        <x:v>105</x:v>
      </x:c>
      <x:c r="E30" s="15" t="s">
        <x:v>334</x:v>
      </x:c>
      <x:c r="F30" s="15" t="s">
        <x:v>292</x:v>
      </x:c>
      <x:c r="G30" s="26" t="s">
        <x:v>293</x:v>
      </x:c>
      <x:c r="H30" s="18" t="s">
        <x:v>5</x:v>
      </x:c>
      <x:c r="I30" s="28">
        <x:v>0.8868055555555555</x:v>
      </x:c>
      <x:c r="J30" s="15" t="s">
        <x:v>184</x:v>
      </x:c>
      <x:c r="K30" s="20">
        <x:v>46294.0</x:v>
      </x:c>
    </x:row>
    <x:row r="31" ht="54" customHeight="1">
      <x:c r="A31" s="9" t="s">
        <x:v>335</x:v>
      </x:c>
      <x:c r="B31" s="9" t="s">
        <x:v>286</x:v>
      </x:c>
      <x:c r="C31" s="9" t="s">
        <x:v>89</x:v>
      </x:c>
      <x:c r="D31" s="9" t="s">
        <x:v>105</x:v>
      </x:c>
      <x:c r="E31" s="9" t="s">
        <x:v>336</x:v>
      </x:c>
      <x:c r="F31" s="9" t="s">
        <x:v>288</x:v>
      </x:c>
      <x:c r="G31" s="16" t="s">
        <x:v>289</x:v>
      </x:c>
      <x:c r="H31" s="12" t="s">
        <x:v>5</x:v>
      </x:c>
      <x:c r="I31" s="21">
        <x:v>0.8875</x:v>
      </x:c>
      <x:c r="J31" s="9" t="s">
        <x:v>184</x:v>
      </x:c>
      <x:c r="K31" s="14">
        <x:v>46294.0</x:v>
      </x:c>
    </x:row>
    <x:row r="32" ht="54" customHeight="1">
      <x:c r="A32" s="15" t="s">
        <x:v>337</x:v>
      </x:c>
      <x:c r="B32" s="15" t="s">
        <x:v>286</x:v>
      </x:c>
      <x:c r="C32" s="15" t="s">
        <x:v>89</x:v>
      </x:c>
      <x:c r="D32" s="15" t="s">
        <x:v>105</x:v>
      </x:c>
      <x:c r="E32" s="15" t="s">
        <x:v>338</x:v>
      </x:c>
      <x:c r="F32" s="15" t="s">
        <x:v>292</x:v>
      </x:c>
      <x:c r="G32" s="26" t="s">
        <x:v>293</x:v>
      </x:c>
      <x:c r="H32" s="18" t="s">
        <x:v>5</x:v>
      </x:c>
      <x:c r="I32" s="28">
        <x:v>0.8881944444444444</x:v>
      </x:c>
      <x:c r="J32" s="15" t="s">
        <x:v>184</x:v>
      </x:c>
      <x:c r="K32" s="20">
        <x:v>46294.0</x:v>
      </x:c>
    </x:row>
    <x:row r="33" ht="54" customHeight="1">
      <x:c r="A33" s="9" t="s">
        <x:v>339</x:v>
      </x:c>
      <x:c r="B33" s="9" t="s">
        <x:v>286</x:v>
      </x:c>
      <x:c r="C33" s="9" t="s">
        <x:v>118</x:v>
      </x:c>
      <x:c r="D33" s="9" t="s">
        <x:v>340</x:v>
      </x:c>
      <x:c r="E33" s="9" t="s">
        <x:v>341</x:v>
      </x:c>
      <x:c r="F33" s="9" t="s">
        <x:v>288</x:v>
      </x:c>
      <x:c r="G33" s="16" t="s">
        <x:v>289</x:v>
      </x:c>
      <x:c r="H33" s="12" t="s">
        <x:v>5</x:v>
      </x:c>
      <x:c r="I33" s="21">
        <x:v>0.8888888888888888</x:v>
      </x:c>
      <x:c r="J33" s="9" t="s">
        <x:v>184</x:v>
      </x:c>
      <x:c r="K33" s="14">
        <x:v>46294.0</x:v>
      </x:c>
    </x:row>
    <x:row r="34" ht="54" customHeight="1">
      <x:c r="A34" s="15" t="s">
        <x:v>342</x:v>
      </x:c>
      <x:c r="B34" s="15" t="s">
        <x:v>286</x:v>
      </x:c>
      <x:c r="C34" s="15" t="s">
        <x:v>118</x:v>
      </x:c>
      <x:c r="D34" s="15" t="s">
        <x:v>340</x:v>
      </x:c>
      <x:c r="E34" s="15" t="s">
        <x:v>343</x:v>
      </x:c>
      <x:c r="F34" s="15" t="s">
        <x:v>292</x:v>
      </x:c>
      <x:c r="G34" s="26" t="s">
        <x:v>293</x:v>
      </x:c>
      <x:c r="H34" s="18" t="s">
        <x:v>5</x:v>
      </x:c>
      <x:c r="I34" s="28">
        <x:v>0.8888888888888888</x:v>
      </x:c>
      <x:c r="J34" s="15" t="s">
        <x:v>184</x:v>
      </x:c>
      <x:c r="K34" s="20">
        <x:v>46294.0</x:v>
      </x:c>
    </x:row>
    <x:row r="35" ht="54" customHeight="1">
      <x:c r="A35" s="9" t="s">
        <x:v>344</x:v>
      </x:c>
      <x:c r="B35" s="9" t="s">
        <x:v>286</x:v>
      </x:c>
      <x:c r="C35" s="9" t="s">
        <x:v>118</x:v>
      </x:c>
      <x:c r="D35" s="9" t="s">
        <x:v>340</x:v>
      </x:c>
      <x:c r="E35" s="9" t="s">
        <x:v>345</x:v>
      </x:c>
      <x:c r="F35" s="9" t="s">
        <x:v>288</x:v>
      </x:c>
      <x:c r="G35" s="16" t="s">
        <x:v>289</x:v>
      </x:c>
      <x:c r="H35" s="12" t="s">
        <x:v>5</x:v>
      </x:c>
      <x:c r="I35" s="21">
        <x:v>0.8895833333333333</x:v>
      </x:c>
      <x:c r="J35" s="9" t="s">
        <x:v>184</x:v>
      </x:c>
      <x:c r="K35" s="14">
        <x:v>46294.0</x:v>
      </x:c>
    </x:row>
    <x:row r="36" ht="54" customHeight="1">
      <x:c r="A36" s="15" t="s">
        <x:v>346</x:v>
      </x:c>
      <x:c r="B36" s="15" t="s">
        <x:v>286</x:v>
      </x:c>
      <x:c r="C36" s="15" t="s">
        <x:v>118</x:v>
      </x:c>
      <x:c r="D36" s="15" t="s">
        <x:v>340</x:v>
      </x:c>
      <x:c r="E36" s="15" t="s">
        <x:v>347</x:v>
      </x:c>
      <x:c r="F36" s="15" t="s">
        <x:v>292</x:v>
      </x:c>
      <x:c r="G36" s="26" t="s">
        <x:v>293</x:v>
      </x:c>
      <x:c r="H36" s="18" t="s">
        <x:v>5</x:v>
      </x:c>
      <x:c r="I36" s="28">
        <x:v>0.8902777777777777</x:v>
      </x:c>
      <x:c r="J36" s="15" t="s">
        <x:v>184</x:v>
      </x:c>
      <x:c r="K36" s="20">
        <x:v>46294.0</x:v>
      </x:c>
    </x:row>
    <x:row r="37" ht="54" customHeight="1">
      <x:c r="A37" s="9" t="s">
        <x:v>348</x:v>
      </x:c>
      <x:c r="B37" s="9" t="s">
        <x:v>286</x:v>
      </x:c>
      <x:c r="C37" s="9" t="s">
        <x:v>118</x:v>
      </x:c>
      <x:c r="D37" s="9" t="s">
        <x:v>349</x:v>
      </x:c>
      <x:c r="E37" s="9" t="s">
        <x:v>350</x:v>
      </x:c>
      <x:c r="F37" s="9" t="s">
        <x:v>288</x:v>
      </x:c>
      <x:c r="G37" s="16" t="s">
        <x:v>289</x:v>
      </x:c>
      <x:c r="H37" s="12" t="s">
        <x:v>5</x:v>
      </x:c>
      <x:c r="I37" s="21">
        <x:v>0.8909722222222223</x:v>
      </x:c>
      <x:c r="J37" s="9" t="s">
        <x:v>184</x:v>
      </x:c>
      <x:c r="K37" s="14">
        <x:v>46294.0</x:v>
      </x:c>
    </x:row>
    <x:row r="38" ht="54" customHeight="1">
      <x:c r="A38" s="15" t="s">
        <x:v>351</x:v>
      </x:c>
      <x:c r="B38" s="15" t="s">
        <x:v>286</x:v>
      </x:c>
      <x:c r="C38" s="15" t="s">
        <x:v>118</x:v>
      </x:c>
      <x:c r="D38" s="15" t="s">
        <x:v>349</x:v>
      </x:c>
      <x:c r="E38" s="15" t="s">
        <x:v>352</x:v>
      </x:c>
      <x:c r="F38" s="15" t="s">
        <x:v>292</x:v>
      </x:c>
      <x:c r="G38" s="26" t="s">
        <x:v>293</x:v>
      </x:c>
      <x:c r="H38" s="18" t="s">
        <x:v>5</x:v>
      </x:c>
      <x:c r="I38" s="28">
        <x:v>0.8909722222222223</x:v>
      </x:c>
      <x:c r="J38" s="15" t="s">
        <x:v>184</x:v>
      </x:c>
      <x:c r="K38" s="20">
        <x:v>46294.0</x:v>
      </x:c>
    </x:row>
    <x:row r="39" ht="54" customHeight="1">
      <x:c r="A39" s="9" t="s">
        <x:v>353</x:v>
      </x:c>
      <x:c r="B39" s="9" t="s">
        <x:v>286</x:v>
      </x:c>
      <x:c r="C39" s="9" t="s">
        <x:v>118</x:v>
      </x:c>
      <x:c r="D39" s="9" t="s">
        <x:v>349</x:v>
      </x:c>
      <x:c r="E39" s="9" t="s">
        <x:v>354</x:v>
      </x:c>
      <x:c r="F39" s="9" t="s">
        <x:v>288</x:v>
      </x:c>
      <x:c r="G39" s="16" t="s">
        <x:v>289</x:v>
      </x:c>
      <x:c r="H39" s="12" t="s">
        <x:v>5</x:v>
      </x:c>
      <x:c r="I39" s="21">
        <x:v>0.8916666666666667</x:v>
      </x:c>
      <x:c r="J39" s="9" t="s">
        <x:v>184</x:v>
      </x:c>
      <x:c r="K39" s="14">
        <x:v>46294.0</x:v>
      </x:c>
    </x:row>
    <x:row r="40" ht="54" customHeight="1">
      <x:c r="A40" s="15" t="s">
        <x:v>355</x:v>
      </x:c>
      <x:c r="B40" s="15" t="s">
        <x:v>286</x:v>
      </x:c>
      <x:c r="C40" s="15" t="s">
        <x:v>118</x:v>
      </x:c>
      <x:c r="D40" s="15" t="s">
        <x:v>349</x:v>
      </x:c>
      <x:c r="E40" s="15" t="s">
        <x:v>356</x:v>
      </x:c>
      <x:c r="F40" s="15" t="s">
        <x:v>292</x:v>
      </x:c>
      <x:c r="G40" s="26" t="s">
        <x:v>293</x:v>
      </x:c>
      <x:c r="H40" s="18" t="s">
        <x:v>5</x:v>
      </x:c>
      <x:c r="I40" s="28">
        <x:v>0.8923611111111112</x:v>
      </x:c>
      <x:c r="J40" s="15" t="s">
        <x:v>184</x:v>
      </x:c>
      <x:c r="K40" s="20">
        <x:v>46294.0</x:v>
      </x:c>
    </x:row>
    <x:row r="41" ht="54" customHeight="1">
      <x:c r="A41" s="9" t="s">
        <x:v>357</x:v>
      </x:c>
      <x:c r="B41" s="9" t="s">
        <x:v>358</x:v>
      </x:c>
      <x:c r="C41" s="9" t="s">
        <x:v>359</x:v>
      </x:c>
      <x:c r="D41" s="9" t="s">
        <x:v>148</x:v>
      </x:c>
      <x:c r="E41" s="9" t="s">
        <x:v>360</x:v>
      </x:c>
      <x:c r="F41" s="9" t="s">
        <x:v>361</x:v>
      </x:c>
      <x:c r="G41" s="16" t="s">
        <x:v>362</x:v>
      </x:c>
      <x:c r="H41" s="12" t="s">
        <x:v>5</x:v>
      </x:c>
      <x:c r="I41" s="21">
        <x:v>0.8965277777777778</x:v>
      </x:c>
      <x:c r="J41" s="9" t="s">
        <x:v>184</x:v>
      </x:c>
      <x:c r="K41" s="14">
        <x:v>46294.0</x:v>
      </x:c>
    </x:row>
    <x:row r="42" ht="54" customHeight="1">
      <x:c r="A42" s="15" t="s">
        <x:v>363</x:v>
      </x:c>
      <x:c r="B42" s="15" t="s">
        <x:v>358</x:v>
      </x:c>
      <x:c r="C42" s="15" t="s">
        <x:v>364</x:v>
      </x:c>
      <x:c r="D42" s="15" t="s">
        <x:v>365</x:v>
      </x:c>
      <x:c r="E42" s="15" t="s">
        <x:v>366</x:v>
      </x:c>
      <x:c r="F42" s="15" t="s">
        <x:v>367</x:v>
      </x:c>
      <x:c r="G42" s="26" t="s">
        <x:v>368</x:v>
      </x:c>
      <x:c r="H42" s="18" t="s">
        <x:v>5</x:v>
      </x:c>
      <x:c r="I42" s="28">
        <x:v>0.8972222222222223</x:v>
      </x:c>
      <x:c r="J42" s="15" t="s">
        <x:v>184</x:v>
      </x:c>
      <x:c r="K42" s="20">
        <x:v>46294.0</x:v>
      </x:c>
    </x:row>
    <x:row r="43" ht="54" customHeight="1">
      <x:c r="A43" s="9" t="s">
        <x:v>369</x:v>
      </x:c>
      <x:c r="B43" s="9" t="s">
        <x:v>358</x:v>
      </x:c>
      <x:c r="C43" s="9" t="s">
        <x:v>364</x:v>
      </x:c>
      <x:c r="D43" s="9" t="s">
        <x:v>370</x:v>
      </x:c>
      <x:c r="E43" s="9" t="s">
        <x:v>371</x:v>
      </x:c>
      <x:c r="F43" s="9" t="s">
        <x:v>372</x:v>
      </x:c>
      <x:c r="G43" s="16" t="s">
        <x:v>373</x:v>
      </x:c>
      <x:c r="H43" s="12" t="s">
        <x:v>5</x:v>
      </x:c>
      <x:c r="I43" s="21">
        <x:v>0.8979166666666667</x:v>
      </x:c>
      <x:c r="J43" s="9" t="s">
        <x:v>184</x:v>
      </x:c>
      <x:c r="K43" s="14">
        <x:v>46294.0</x:v>
      </x:c>
    </x:row>
    <x:row r="44" ht="54" customHeight="1">
      <x:c r="A44" s="15" t="s">
        <x:v>374</x:v>
      </x:c>
      <x:c r="B44" s="15" t="s">
        <x:v>375</x:v>
      </x:c>
      <x:c r="C44" s="15" t="s">
        <x:v>376</x:v>
      </x:c>
      <x:c r="D44" s="15" t="s">
        <x:v>377</x:v>
      </x:c>
      <x:c r="E44" s="15" t="s">
        <x:v>378</x:v>
      </x:c>
      <x:c r="F44" s="15" t="s">
        <x:v>379</x:v>
      </x:c>
      <x:c r="G44" s="26" t="s">
        <x:v>380</x:v>
      </x:c>
      <x:c r="H44" s="18" t="s">
        <x:v>5</x:v>
      </x:c>
      <x:c r="I44" s="28">
        <x:v>0.8993055555555556</x:v>
      </x:c>
      <x:c r="J44" s="15" t="s">
        <x:v>184</x:v>
      </x:c>
      <x:c r="K44" s="20">
        <x:v>46294.0</x:v>
      </x:c>
    </x:row>
    <x:row r="45" ht="54" customHeight="1">
      <x:c r="A45" s="9" t="s">
        <x:v>381</x:v>
      </x:c>
      <x:c r="B45" s="9" t="s">
        <x:v>375</x:v>
      </x:c>
      <x:c r="C45" s="9" t="s">
        <x:v>376</x:v>
      </x:c>
      <x:c r="D45" s="9" t="s">
        <x:v>382</x:v>
      </x:c>
      <x:c r="E45" s="9" t="s">
        <x:v>383</x:v>
      </x:c>
      <x:c r="F45" s="9" t="s">
        <x:v>384</x:v>
      </x:c>
      <x:c r="G45" s="16" t="s">
        <x:v>385</x:v>
      </x:c>
      <x:c r="H45" s="12" t="s">
        <x:v>5</x:v>
      </x:c>
      <x:c r="I45" s="21">
        <x:v>0.9006944444444445</x:v>
      </x:c>
      <x:c r="J45" s="9" t="s">
        <x:v>184</x:v>
      </x:c>
      <x:c r="K45" s="14">
        <x:v>46294.0</x:v>
      </x:c>
    </x:row>
    <x:row r="46" ht="54" customHeight="1">
      <x:c r="A46" s="15" t="s">
        <x:v>386</x:v>
      </x:c>
      <x:c r="B46" s="15" t="s">
        <x:v>387</x:v>
      </x:c>
      <x:c r="C46" s="15" t="s">
        <x:v>376</x:v>
      </x:c>
      <x:c r="D46" s="15" t="s">
        <x:v>388</x:v>
      </x:c>
      <x:c r="E46" s="15" t="s">
        <x:v>389</x:v>
      </x:c>
      <x:c r="F46" s="15" t="s">
        <x:v>390</x:v>
      </x:c>
      <x:c r="G46" s="26" t="s">
        <x:v>391</x:v>
      </x:c>
      <x:c r="H46" s="18" t="s">
        <x:v>5</x:v>
      </x:c>
      <x:c r="I46" s="28">
        <x:v>0.9013888888888889</x:v>
      </x:c>
      <x:c r="J46" s="15" t="s">
        <x:v>184</x:v>
      </x:c>
      <x:c r="K46" s="20">
        <x:v>46294.0</x:v>
      </x:c>
    </x:row>
    <x:row r="47" ht="54" customHeight="1">
      <x:c r="A47" s="9" t="s">
        <x:v>392</x:v>
      </x:c>
      <x:c r="B47" s="9" t="s">
        <x:v>375</x:v>
      </x:c>
      <x:c r="C47" s="9" t="s">
        <x:v>376</x:v>
      </x:c>
      <x:c r="D47" s="9" t="s">
        <x:v>393</x:v>
      </x:c>
      <x:c r="E47" s="9" t="s">
        <x:v>394</x:v>
      </x:c>
      <x:c r="F47" s="9" t="s">
        <x:v>395</x:v>
      </x:c>
      <x:c r="G47" s="16" t="s">
        <x:v>396</x:v>
      </x:c>
      <x:c r="H47" s="12" t="s">
        <x:v>5</x:v>
      </x:c>
      <x:c r="I47" s="21">
        <x:v>0.9034722222222222</x:v>
      </x:c>
      <x:c r="J47" s="9" t="s">
        <x:v>184</x:v>
      </x:c>
      <x:c r="K47" s="14">
        <x:v>46294.0</x:v>
      </x:c>
    </x:row>
    <x:row r="48" ht="54" customHeight="1">
      <x:c r="A48" s="15" t="s">
        <x:v>397</x:v>
      </x:c>
      <x:c r="B48" s="15" t="s">
        <x:v>398</x:v>
      </x:c>
      <x:c r="C48" s="15" t="s">
        <x:v>399</x:v>
      </x:c>
      <x:c r="D48" s="15" t="s">
        <x:v>400</x:v>
      </x:c>
      <x:c r="E48" s="15" t="s">
        <x:v>401</x:v>
      </x:c>
      <x:c r="F48" s="15" t="s">
        <x:v>402</x:v>
      </x:c>
      <x:c r="G48" s="26" t="s">
        <x:v>403</x:v>
      </x:c>
      <x:c r="H48" s="18" t="s">
        <x:v>5</x:v>
      </x:c>
      <x:c r="I48" s="28">
        <x:v>0.9048611111111111</x:v>
      </x:c>
      <x:c r="J48" s="15" t="s">
        <x:v>184</x:v>
      </x:c>
      <x:c r="K48" s="20">
        <x:v>46294.0</x:v>
      </x:c>
    </x:row>
  </x:sheetData>
  <x:mergeCells>
    <x:mergeCell ref="A2:K2"/>
    <x:mergeCell ref="A3:K3"/>
    <x:mergeCell ref="A4:K4"/>
  </x:mergeCells>
  <x:conditionalFormatting sqref="H9:H48">
    <x:cfRule type="containsText" dxfId="3" priority="1" stopIfTrue="1" operator="containsText" text="Not Tested">
      <x:formula>NOT(ISERROR(SEARCH(("Not Tested"),(H9))))</x:formula>
    </x:cfRule>
  </x:conditionalFormatting>
  <x:conditionalFormatting sqref="H9:H48">
    <x:cfRule type="containsText" dxfId="7" priority="2" stopIfTrue="1" operator="containsText" text="Blocked">
      <x:formula>NOT(ISERROR(SEARCH(("Blocked"),(H9))))</x:formula>
    </x:cfRule>
  </x:conditionalFormatting>
  <x:conditionalFormatting sqref="H9:H48">
    <x:cfRule type="containsText" dxfId="4" priority="3" stopIfTrue="1" operator="containsText" text="Fail">
      <x:formula>NOT(ISERROR(SEARCH(("Fail"),(H9))))</x:formula>
    </x:cfRule>
  </x:conditionalFormatting>
  <x:conditionalFormatting sqref="H9:H48">
    <x:cfRule type="containsText" dxfId="5" priority="4" stopIfTrue="1" operator="containsText" text="Pass">
      <x:formula>NOT(ISERROR(SEARCH(("Pass"),(H9))))</x:formula>
    </x:cfRule>
  </x:conditionalFormatting>
  <x:dataValidations count="1">
    <x:dataValidation type="list" allowBlank="1" showErrorMessage="1" sqref="H9:H48">
      <x:formula1>"Not Tested,Pass,Fail,Blocked"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B75B3F"/>
  </x:sheetPr>
  <x:sheetViews>
    <x:sheetView showGridLines="0" workbookViewId="0">
      <x:pane ySplit="7" topLeftCell="A8" activePane="bottomLeft" state="frozen"/>
    </x:sheetView>
  </x:sheetViews>
  <x:sheetFormatPr defaultColWidth="12.630000114440918" defaultRowHeight="15"/>
  <x:cols>
    <x:col min="1" max="1" width="10.75" customWidth="1"/>
    <x:col min="2" max="3" width="12.630000114440918" customWidth="1"/>
    <x:col min="4" max="4" width="13.25" customWidth="1"/>
    <x:col min="5" max="7" width="32.630001068115234" customWidth="1"/>
    <x:col min="8" max="8" width="16.3799991607666" customWidth="1"/>
    <x:col min="9" max="9" width="13.25" customWidth="1"/>
    <x:col min="10" max="10" width="27.6299991607666" customWidth="1"/>
  </x:cols>
  <x:sheetData>
    <x:row r="1">
      <x:c r="A1" s="1" t="s">
        <x:v>184</x:v>
      </x:c>
      <x:c r="B1" s="1" t="s">
        <x:v>184</x:v>
      </x:c>
      <x:c r="C1" s="1" t="s">
        <x:v>184</x:v>
      </x:c>
      <x:c r="D1" s="1" t="s">
        <x:v>184</x:v>
      </x:c>
      <x:c r="E1" s="1" t="s">
        <x:v>184</x:v>
      </x:c>
      <x:c r="F1" s="1" t="s">
        <x:v>184</x:v>
      </x:c>
      <x:c r="G1" s="1" t="s">
        <x:v>184</x:v>
      </x:c>
      <x:c r="H1" s="1" t="s">
        <x:v>184</x:v>
      </x:c>
      <x:c r="I1" s="1" t="s">
        <x:v>184</x:v>
      </x:c>
      <x:c r="J1" s="1" t="s">
        <x:v>184</x:v>
      </x:c>
    </x:row>
    <x:row r="2">
      <x:c r="A2" s="2" t="s">
        <x:v>404</x:v>
      </x:c>
      <x:c r="B2" s="3"/>
      <x:c r="C2" s="3"/>
      <x:c r="D2" s="3"/>
      <x:c r="E2" s="3"/>
      <x:c r="F2" s="3"/>
      <x:c r="G2" s="3"/>
      <x:c r="H2" s="3"/>
      <x:c r="I2" s="3"/>
      <x:c r="J2" s="3"/>
    </x:row>
    <x:row r="3">
      <x:c r="A3" s="4" t="s">
        <x:v>405</x:v>
      </x:c>
    </x:row>
    <x:row r="4">
      <x:c r="A4" s="1" t="s">
        <x:v>184</x:v>
      </x:c>
      <x:c r="B4" s="1" t="s">
        <x:v>184</x:v>
      </x:c>
      <x:c r="C4" s="1" t="s">
        <x:v>184</x:v>
      </x:c>
      <x:c r="D4" s="1" t="s">
        <x:v>184</x:v>
      </x:c>
      <x:c r="E4" s="1" t="s">
        <x:v>184</x:v>
      </x:c>
      <x:c r="F4" s="1" t="s">
        <x:v>184</x:v>
      </x:c>
      <x:c r="G4" s="1" t="s">
        <x:v>184</x:v>
      </x:c>
      <x:c r="H4" s="1" t="s">
        <x:v>184</x:v>
      </x:c>
      <x:c r="I4" s="1" t="s">
        <x:v>184</x:v>
      </x:c>
      <x:c r="J4" s="1" t="s">
        <x:v>184</x:v>
      </x:c>
    </x:row>
    <x:row r="5">
      <x:c r="A5" s="6" t="s">
        <x:v>406</x:v>
      </x:c>
      <x:c r="B5" s="6" t="s">
        <x:v>407</x:v>
      </x:c>
      <x:c r="C5" s="6" t="s">
        <x:v>408</x:v>
      </x:c>
      <x:c r="D5" s="6" t="s">
        <x:v>409</x:v>
      </x:c>
      <x:c r="E5" s="1" t="s">
        <x:v>184</x:v>
      </x:c>
      <x:c r="F5" s="1" t="s">
        <x:v>184</x:v>
      </x:c>
      <x:c r="G5" s="1" t="s">
        <x:v>184</x:v>
      </x:c>
      <x:c r="H5" s="1" t="s">
        <x:v>184</x:v>
      </x:c>
      <x:c r="I5" s="1" t="s">
        <x:v>184</x:v>
      </x:c>
      <x:c r="J5" s="1" t="s">
        <x:v>184</x:v>
      </x:c>
    </x:row>
    <x:row r="6">
      <x:c r="A6" s="7" t="n">
        <x:f>COUNTA(A8:A57)</x:f>
        <x:v>2</x:v>
      </x:c>
      <x:c r="B6" s="7" t="n">
        <x:f>COUNTIF(H8:H57,"Open")+COUNTIF(H8:H57,"Fix in Progress")</x:f>
        <x:v>0</x:v>
      </x:c>
      <x:c r="C6" s="7" t="n">
        <x:f>COUNTIF(H8:H57,"Ready to Retest")</x:f>
        <x:v>0</x:v>
      </x:c>
      <x:c r="D6" s="7" t="n">
        <x:f>COUNTIF(H8:H57,"Closed")+COUNTIF(H8:H57,"Retest Passed")</x:f>
        <x:v>2</x:v>
      </x:c>
      <x:c r="E6" s="1" t="s">
        <x:v>184</x:v>
      </x:c>
      <x:c r="F6" s="1" t="s">
        <x:v>184</x:v>
      </x:c>
      <x:c r="G6" s="1" t="s">
        <x:v>184</x:v>
      </x:c>
      <x:c r="H6" s="1" t="s">
        <x:v>184</x:v>
      </x:c>
      <x:c r="I6" s="1" t="s">
        <x:v>184</x:v>
      </x:c>
      <x:c r="J6" s="1" t="s">
        <x:v>184</x:v>
      </x:c>
    </x:row>
    <x:row r="7">
      <x:c r="A7" s="8" t="s">
        <x:v>410</x:v>
      </x:c>
      <x:c r="B7" s="8" t="s">
        <x:v>411</x:v>
      </x:c>
      <x:c r="C7" s="8" t="s">
        <x:v>412</x:v>
      </x:c>
      <x:c r="D7" s="8" t="s">
        <x:v>413</x:v>
      </x:c>
      <x:c r="E7" s="8" t="s">
        <x:v>414</x:v>
      </x:c>
      <x:c r="F7" s="8" t="s">
        <x:v>415</x:v>
      </x:c>
      <x:c r="G7" s="8" t="s">
        <x:v>416</x:v>
      </x:c>
      <x:c r="H7" s="8" t="s">
        <x:v>22</x:v>
      </x:c>
      <x:c r="I7" s="8" t="s">
        <x:v>417</x:v>
      </x:c>
      <x:c r="J7" s="8" t="s">
        <x:v>418</x:v>
      </x:c>
    </x:row>
    <x:row r="8" ht="48" customHeight="1">
      <x:c r="A8" s="9" t="s">
        <x:v>419</x:v>
      </x:c>
      <x:c r="B8" s="9" t="s">
        <x:v>420</x:v>
      </x:c>
      <x:c r="C8" s="9" t="s">
        <x:v>421</x:v>
      </x:c>
      <x:c r="D8" s="13">
        <x:v>46293.0</x:v>
      </x:c>
      <x:c r="E8" s="9" t="s">
        <x:v>422</x:v>
      </x:c>
      <x:c r="F8" s="9" t="s">
        <x:v>423</x:v>
      </x:c>
      <x:c r="G8" s="9" t="s">
        <x:v>424</x:v>
      </x:c>
      <x:c r="H8" s="9" t="s">
        <x:v>425</x:v>
      </x:c>
      <x:c r="I8" s="13">
        <x:v>46303.0</x:v>
      </x:c>
      <x:c r="J8" s="9" t="s">
        <x:v>426</x:v>
      </x:c>
    </x:row>
    <x:row r="9" ht="48" customHeight="1">
      <x:c r="A9" s="15" t="s">
        <x:v>427</x:v>
      </x:c>
      <x:c r="B9" s="15" t="s">
        <x:v>179</x:v>
      </x:c>
      <x:c r="C9" s="15" t="s">
        <x:v>421</x:v>
      </x:c>
      <x:c r="D9" s="22">
        <x:v>46293.0</x:v>
      </x:c>
      <x:c r="E9" s="15" t="s">
        <x:v>428</x:v>
      </x:c>
      <x:c r="F9" s="15" t="s">
        <x:v>429</x:v>
      </x:c>
      <x:c r="G9" s="15" t="s">
        <x:v>430</x:v>
      </x:c>
      <x:c r="H9" s="15" t="s">
        <x:v>425</x:v>
      </x:c>
      <x:c r="I9" s="22">
        <x:v>46303.0</x:v>
      </x:c>
      <x:c r="J9" s="15" t="s">
        <x:v>431</x:v>
      </x:c>
    </x:row>
    <x:row r="10" ht="48" customHeight="1">
      <x:c r="A10" s="25"/>
      <x:c r="B10" s="25"/>
      <x:c r="C10" s="25"/>
      <x:c r="D10" s="25"/>
      <x:c r="E10" s="25"/>
      <x:c r="F10" s="25"/>
      <x:c r="G10" s="25"/>
      <x:c r="H10" s="25"/>
      <x:c r="I10" s="25"/>
      <x:c r="J10" s="25"/>
    </x:row>
    <x:row r="11" ht="48" customHeight="1">
      <x:c r="A11" s="30"/>
      <x:c r="B11" s="30"/>
      <x:c r="C11" s="30"/>
      <x:c r="D11" s="30"/>
      <x:c r="E11" s="30"/>
      <x:c r="F11" s="30"/>
      <x:c r="G11" s="30"/>
      <x:c r="H11" s="30"/>
      <x:c r="I11" s="30"/>
      <x:c r="J11" s="30"/>
    </x:row>
    <x:row r="12" ht="48" customHeight="1">
      <x:c r="A12" s="25"/>
      <x:c r="B12" s="25"/>
      <x:c r="C12" s="25"/>
      <x:c r="D12" s="25"/>
      <x:c r="E12" s="25"/>
      <x:c r="F12" s="25"/>
      <x:c r="G12" s="25"/>
      <x:c r="H12" s="25"/>
      <x:c r="I12" s="25"/>
      <x:c r="J12" s="25"/>
    </x:row>
    <x:row r="13" ht="48" customHeight="1">
      <x:c r="A13" s="30"/>
      <x:c r="B13" s="30"/>
      <x:c r="C13" s="30"/>
      <x:c r="D13" s="30"/>
      <x:c r="E13" s="30"/>
      <x:c r="F13" s="30"/>
      <x:c r="G13" s="30"/>
      <x:c r="H13" s="30"/>
      <x:c r="I13" s="30"/>
      <x:c r="J13" s="30"/>
    </x:row>
    <x:row r="14" ht="48" customHeight="1">
      <x:c r="A14" s="25"/>
      <x:c r="B14" s="25"/>
      <x:c r="C14" s="25"/>
      <x:c r="D14" s="25"/>
      <x:c r="E14" s="25"/>
      <x:c r="F14" s="25"/>
      <x:c r="G14" s="25"/>
      <x:c r="H14" s="25"/>
      <x:c r="I14" s="25"/>
      <x:c r="J14" s="25"/>
    </x:row>
    <x:row r="15" ht="48" customHeight="1">
      <x:c r="A15" s="30"/>
      <x:c r="B15" s="30"/>
      <x:c r="C15" s="30"/>
      <x:c r="D15" s="30"/>
      <x:c r="E15" s="30"/>
      <x:c r="F15" s="30"/>
      <x:c r="G15" s="30"/>
      <x:c r="H15" s="30"/>
      <x:c r="I15" s="30"/>
      <x:c r="J15" s="30"/>
    </x:row>
    <x:row r="16" ht="48" customHeight="1">
      <x:c r="A16" s="25"/>
      <x:c r="B16" s="25"/>
      <x:c r="C16" s="25"/>
      <x:c r="D16" s="25"/>
      <x:c r="E16" s="25"/>
      <x:c r="F16" s="25"/>
      <x:c r="G16" s="25"/>
      <x:c r="H16" s="25"/>
      <x:c r="I16" s="25"/>
      <x:c r="J16" s="25"/>
    </x:row>
    <x:row r="17" ht="48" customHeight="1">
      <x:c r="A17" s="30"/>
      <x:c r="B17" s="30"/>
      <x:c r="C17" s="30"/>
      <x:c r="D17" s="30"/>
      <x:c r="E17" s="30"/>
      <x:c r="F17" s="30"/>
      <x:c r="G17" s="30"/>
      <x:c r="H17" s="30"/>
      <x:c r="I17" s="30"/>
      <x:c r="J17" s="30"/>
    </x:row>
    <x:row r="18" ht="48" customHeight="1">
      <x:c r="A18" s="25"/>
      <x:c r="B18" s="25"/>
      <x:c r="C18" s="25"/>
      <x:c r="D18" s="25"/>
      <x:c r="E18" s="25"/>
      <x:c r="F18" s="25"/>
      <x:c r="G18" s="25"/>
      <x:c r="H18" s="25"/>
      <x:c r="I18" s="25"/>
      <x:c r="J18" s="25"/>
    </x:row>
    <x:row r="19" ht="48" customHeight="1">
      <x:c r="A19" s="30"/>
      <x:c r="B19" s="30"/>
      <x:c r="C19" s="30"/>
      <x:c r="D19" s="30"/>
      <x:c r="E19" s="30"/>
      <x:c r="F19" s="30"/>
      <x:c r="G19" s="30"/>
      <x:c r="H19" s="30"/>
      <x:c r="I19" s="30"/>
      <x:c r="J19" s="30"/>
    </x:row>
    <x:row r="20" ht="48" customHeight="1">
      <x:c r="A20" s="25"/>
      <x:c r="B20" s="25"/>
      <x:c r="C20" s="25"/>
      <x:c r="D20" s="25"/>
      <x:c r="E20" s="25"/>
      <x:c r="F20" s="25"/>
      <x:c r="G20" s="25"/>
      <x:c r="H20" s="25"/>
      <x:c r="I20" s="25"/>
      <x:c r="J20" s="25"/>
    </x:row>
    <x:row r="21" ht="48" customHeight="1">
      <x:c r="A21" s="30"/>
      <x:c r="B21" s="30"/>
      <x:c r="C21" s="30"/>
      <x:c r="D21" s="30"/>
      <x:c r="E21" s="30"/>
      <x:c r="F21" s="30"/>
      <x:c r="G21" s="30"/>
      <x:c r="H21" s="30"/>
      <x:c r="I21" s="30"/>
      <x:c r="J21" s="30"/>
    </x:row>
    <x:row r="22" ht="48" customHeight="1">
      <x:c r="A22" s="25"/>
      <x:c r="B22" s="25"/>
      <x:c r="C22" s="25"/>
      <x:c r="D22" s="25"/>
      <x:c r="E22" s="25"/>
      <x:c r="F22" s="25"/>
      <x:c r="G22" s="25"/>
      <x:c r="H22" s="25"/>
      <x:c r="I22" s="25"/>
      <x:c r="J22" s="25"/>
    </x:row>
    <x:row r="23" ht="48" customHeight="1">
      <x:c r="A23" s="30"/>
      <x:c r="B23" s="30"/>
      <x:c r="C23" s="30"/>
      <x:c r="D23" s="30"/>
      <x:c r="E23" s="30"/>
      <x:c r="F23" s="30"/>
      <x:c r="G23" s="30"/>
      <x:c r="H23" s="30"/>
      <x:c r="I23" s="30"/>
      <x:c r="J23" s="30"/>
    </x:row>
    <x:row r="24" ht="48" customHeight="1">
      <x:c r="A24" s="25"/>
      <x:c r="B24" s="25"/>
      <x:c r="C24" s="25"/>
      <x:c r="D24" s="25"/>
      <x:c r="E24" s="25"/>
      <x:c r="F24" s="25"/>
      <x:c r="G24" s="25"/>
      <x:c r="H24" s="25"/>
      <x:c r="I24" s="25"/>
      <x:c r="J24" s="25"/>
    </x:row>
    <x:row r="25" ht="48" customHeight="1">
      <x:c r="A25" s="30"/>
      <x:c r="B25" s="30"/>
      <x:c r="C25" s="30"/>
      <x:c r="D25" s="30"/>
      <x:c r="E25" s="30"/>
      <x:c r="F25" s="30"/>
      <x:c r="G25" s="30"/>
      <x:c r="H25" s="30"/>
      <x:c r="I25" s="30"/>
      <x:c r="J25" s="30"/>
    </x:row>
    <x:row r="26" ht="48" customHeight="1">
      <x:c r="A26" s="25"/>
      <x:c r="B26" s="25"/>
      <x:c r="C26" s="25"/>
      <x:c r="D26" s="25"/>
      <x:c r="E26" s="25"/>
      <x:c r="F26" s="25"/>
      <x:c r="G26" s="25"/>
      <x:c r="H26" s="25"/>
      <x:c r="I26" s="25"/>
      <x:c r="J26" s="25"/>
    </x:row>
    <x:row r="27" ht="48" customHeight="1">
      <x:c r="A27" s="30"/>
      <x:c r="B27" s="30"/>
      <x:c r="C27" s="30"/>
      <x:c r="D27" s="30"/>
      <x:c r="E27" s="30"/>
      <x:c r="F27" s="30"/>
      <x:c r="G27" s="30"/>
      <x:c r="H27" s="30"/>
      <x:c r="I27" s="30"/>
      <x:c r="J27" s="30"/>
    </x:row>
    <x:row r="28" ht="48" customHeight="1">
      <x:c r="A28" s="25"/>
      <x:c r="B28" s="25"/>
      <x:c r="C28" s="25"/>
      <x:c r="D28" s="25"/>
      <x:c r="E28" s="25"/>
      <x:c r="F28" s="25"/>
      <x:c r="G28" s="25"/>
      <x:c r="H28" s="25"/>
      <x:c r="I28" s="25"/>
      <x:c r="J28" s="25"/>
    </x:row>
    <x:row r="29" ht="48" customHeight="1">
      <x:c r="A29" s="30"/>
      <x:c r="B29" s="30"/>
      <x:c r="C29" s="30"/>
      <x:c r="D29" s="30"/>
      <x:c r="E29" s="30"/>
      <x:c r="F29" s="30"/>
      <x:c r="G29" s="30"/>
      <x:c r="H29" s="30"/>
      <x:c r="I29" s="30"/>
      <x:c r="J29" s="30"/>
    </x:row>
    <x:row r="30" ht="48" customHeight="1">
      <x:c r="A30" s="25"/>
      <x:c r="B30" s="25"/>
      <x:c r="C30" s="25"/>
      <x:c r="D30" s="25"/>
      <x:c r="E30" s="25"/>
      <x:c r="F30" s="25"/>
      <x:c r="G30" s="25"/>
      <x:c r="H30" s="25"/>
      <x:c r="I30" s="25"/>
      <x:c r="J30" s="25"/>
    </x:row>
    <x:row r="31" ht="48" customHeight="1">
      <x:c r="A31" s="30"/>
      <x:c r="B31" s="30"/>
      <x:c r="C31" s="30"/>
      <x:c r="D31" s="30"/>
      <x:c r="E31" s="30"/>
      <x:c r="F31" s="30"/>
      <x:c r="G31" s="30"/>
      <x:c r="H31" s="30"/>
      <x:c r="I31" s="30"/>
      <x:c r="J31" s="30"/>
    </x:row>
    <x:row r="32" ht="48" customHeight="1">
      <x:c r="A32" s="25"/>
      <x:c r="B32" s="25"/>
      <x:c r="C32" s="25"/>
      <x:c r="D32" s="25"/>
      <x:c r="E32" s="25"/>
      <x:c r="F32" s="25"/>
      <x:c r="G32" s="25"/>
      <x:c r="H32" s="25"/>
      <x:c r="I32" s="25"/>
      <x:c r="J32" s="25"/>
    </x:row>
    <x:row r="33" ht="48" customHeight="1">
      <x:c r="A33" s="30"/>
      <x:c r="B33" s="30"/>
      <x:c r="C33" s="30"/>
      <x:c r="D33" s="30"/>
      <x:c r="E33" s="30"/>
      <x:c r="F33" s="30"/>
      <x:c r="G33" s="30"/>
      <x:c r="H33" s="30"/>
      <x:c r="I33" s="30"/>
      <x:c r="J33" s="30"/>
    </x:row>
    <x:row r="34" ht="48" customHeight="1">
      <x:c r="A34" s="25"/>
      <x:c r="B34" s="25"/>
      <x:c r="C34" s="25"/>
      <x:c r="D34" s="25"/>
      <x:c r="E34" s="25"/>
      <x:c r="F34" s="25"/>
      <x:c r="G34" s="25"/>
      <x:c r="H34" s="25"/>
      <x:c r="I34" s="25"/>
      <x:c r="J34" s="25"/>
    </x:row>
    <x:row r="35" ht="48" customHeight="1">
      <x:c r="A35" s="30"/>
      <x:c r="B35" s="30"/>
      <x:c r="C35" s="30"/>
      <x:c r="D35" s="30"/>
      <x:c r="E35" s="30"/>
      <x:c r="F35" s="30"/>
      <x:c r="G35" s="30"/>
      <x:c r="H35" s="30"/>
      <x:c r="I35" s="30"/>
      <x:c r="J35" s="30"/>
    </x:row>
    <x:row r="36" ht="48" customHeight="1">
      <x:c r="A36" s="25"/>
      <x:c r="B36" s="25"/>
      <x:c r="C36" s="25"/>
      <x:c r="D36" s="25"/>
      <x:c r="E36" s="25"/>
      <x:c r="F36" s="25"/>
      <x:c r="G36" s="25"/>
      <x:c r="H36" s="25"/>
      <x:c r="I36" s="25"/>
      <x:c r="J36" s="25"/>
    </x:row>
    <x:row r="37" ht="48" customHeight="1">
      <x:c r="A37" s="30"/>
      <x:c r="B37" s="30"/>
      <x:c r="C37" s="30"/>
      <x:c r="D37" s="30"/>
      <x:c r="E37" s="30"/>
      <x:c r="F37" s="30"/>
      <x:c r="G37" s="30"/>
      <x:c r="H37" s="30"/>
      <x:c r="I37" s="30"/>
      <x:c r="J37" s="30"/>
    </x:row>
    <x:row r="38" ht="48" customHeight="1">
      <x:c r="A38" s="25"/>
      <x:c r="B38" s="25"/>
      <x:c r="C38" s="25"/>
      <x:c r="D38" s="25"/>
      <x:c r="E38" s="25"/>
      <x:c r="F38" s="25"/>
      <x:c r="G38" s="25"/>
      <x:c r="H38" s="25"/>
      <x:c r="I38" s="25"/>
      <x:c r="J38" s="25"/>
    </x:row>
    <x:row r="39" ht="48" customHeight="1">
      <x:c r="A39" s="30"/>
      <x:c r="B39" s="30"/>
      <x:c r="C39" s="30"/>
      <x:c r="D39" s="30"/>
      <x:c r="E39" s="30"/>
      <x:c r="F39" s="30"/>
      <x:c r="G39" s="30"/>
      <x:c r="H39" s="30"/>
      <x:c r="I39" s="30"/>
      <x:c r="J39" s="30"/>
    </x:row>
    <x:row r="40" ht="48" customHeight="1">
      <x:c r="A40" s="25"/>
      <x:c r="B40" s="25"/>
      <x:c r="C40" s="25"/>
      <x:c r="D40" s="25"/>
      <x:c r="E40" s="25"/>
      <x:c r="F40" s="25"/>
      <x:c r="G40" s="25"/>
      <x:c r="H40" s="25"/>
      <x:c r="I40" s="25"/>
      <x:c r="J40" s="25"/>
    </x:row>
    <x:row r="41" ht="48" customHeight="1">
      <x:c r="A41" s="30"/>
      <x:c r="B41" s="30"/>
      <x:c r="C41" s="30"/>
      <x:c r="D41" s="30"/>
      <x:c r="E41" s="30"/>
      <x:c r="F41" s="30"/>
      <x:c r="G41" s="30"/>
      <x:c r="H41" s="30"/>
      <x:c r="I41" s="30"/>
      <x:c r="J41" s="30"/>
    </x:row>
    <x:row r="42" ht="48" customHeight="1">
      <x:c r="A42" s="25"/>
      <x:c r="B42" s="25"/>
      <x:c r="C42" s="25"/>
      <x:c r="D42" s="25"/>
      <x:c r="E42" s="25"/>
      <x:c r="F42" s="25"/>
      <x:c r="G42" s="25"/>
      <x:c r="H42" s="25"/>
      <x:c r="I42" s="25"/>
      <x:c r="J42" s="25"/>
    </x:row>
    <x:row r="43" ht="48" customHeight="1">
      <x:c r="A43" s="30"/>
      <x:c r="B43" s="30"/>
      <x:c r="C43" s="30"/>
      <x:c r="D43" s="30"/>
      <x:c r="E43" s="30"/>
      <x:c r="F43" s="30"/>
      <x:c r="G43" s="30"/>
      <x:c r="H43" s="30"/>
      <x:c r="I43" s="30"/>
      <x:c r="J43" s="30"/>
    </x:row>
    <x:row r="44" ht="48" customHeight="1">
      <x:c r="A44" s="25"/>
      <x:c r="B44" s="25"/>
      <x:c r="C44" s="25"/>
      <x:c r="D44" s="25"/>
      <x:c r="E44" s="25"/>
      <x:c r="F44" s="25"/>
      <x:c r="G44" s="25"/>
      <x:c r="H44" s="25"/>
      <x:c r="I44" s="25"/>
      <x:c r="J44" s="25"/>
    </x:row>
    <x:row r="45" ht="48" customHeight="1">
      <x:c r="A45" s="30"/>
      <x:c r="B45" s="30"/>
      <x:c r="C45" s="30"/>
      <x:c r="D45" s="30"/>
      <x:c r="E45" s="30"/>
      <x:c r="F45" s="30"/>
      <x:c r="G45" s="30"/>
      <x:c r="H45" s="30"/>
      <x:c r="I45" s="30"/>
      <x:c r="J45" s="30"/>
    </x:row>
    <x:row r="46" ht="48" customHeight="1">
      <x:c r="A46" s="25"/>
      <x:c r="B46" s="25"/>
      <x:c r="C46" s="25"/>
      <x:c r="D46" s="25"/>
      <x:c r="E46" s="25"/>
      <x:c r="F46" s="25"/>
      <x:c r="G46" s="25"/>
      <x:c r="H46" s="25"/>
      <x:c r="I46" s="25"/>
      <x:c r="J46" s="25"/>
    </x:row>
    <x:row r="47" ht="48" customHeight="1">
      <x:c r="A47" s="30"/>
      <x:c r="B47" s="30"/>
      <x:c r="C47" s="30"/>
      <x:c r="D47" s="30"/>
      <x:c r="E47" s="30"/>
      <x:c r="F47" s="30"/>
      <x:c r="G47" s="30"/>
      <x:c r="H47" s="30"/>
      <x:c r="I47" s="30"/>
      <x:c r="J47" s="30"/>
    </x:row>
    <x:row r="48" ht="48" customHeight="1">
      <x:c r="A48" s="25"/>
      <x:c r="B48" s="25"/>
      <x:c r="C48" s="25"/>
      <x:c r="D48" s="25"/>
      <x:c r="E48" s="25"/>
      <x:c r="F48" s="25"/>
      <x:c r="G48" s="25"/>
      <x:c r="H48" s="25"/>
      <x:c r="I48" s="25"/>
      <x:c r="J48" s="25"/>
    </x:row>
    <x:row r="49" ht="48" customHeight="1">
      <x:c r="A49" s="30"/>
      <x:c r="B49" s="30"/>
      <x:c r="C49" s="30"/>
      <x:c r="D49" s="30"/>
      <x:c r="E49" s="30"/>
      <x:c r="F49" s="30"/>
      <x:c r="G49" s="30"/>
      <x:c r="H49" s="30"/>
      <x:c r="I49" s="30"/>
      <x:c r="J49" s="30"/>
    </x:row>
    <x:row r="50" ht="48" customHeight="1">
      <x:c r="A50" s="25"/>
      <x:c r="B50" s="25"/>
      <x:c r="C50" s="25"/>
      <x:c r="D50" s="25"/>
      <x:c r="E50" s="25"/>
      <x:c r="F50" s="25"/>
      <x:c r="G50" s="25"/>
      <x:c r="H50" s="25"/>
      <x:c r="I50" s="25"/>
      <x:c r="J50" s="25"/>
    </x:row>
    <x:row r="51" ht="48" customHeight="1">
      <x:c r="A51" s="30"/>
      <x:c r="B51" s="30"/>
      <x:c r="C51" s="30"/>
      <x:c r="D51" s="30"/>
      <x:c r="E51" s="30"/>
      <x:c r="F51" s="30"/>
      <x:c r="G51" s="30"/>
      <x:c r="H51" s="30"/>
      <x:c r="I51" s="30"/>
      <x:c r="J51" s="30"/>
    </x:row>
    <x:row r="52" ht="48" customHeight="1">
      <x:c r="A52" s="25"/>
      <x:c r="B52" s="25"/>
      <x:c r="C52" s="25"/>
      <x:c r="D52" s="25"/>
      <x:c r="E52" s="25"/>
      <x:c r="F52" s="25"/>
      <x:c r="G52" s="25"/>
      <x:c r="H52" s="25"/>
      <x:c r="I52" s="25"/>
      <x:c r="J52" s="25"/>
    </x:row>
    <x:row r="53" ht="48" customHeight="1">
      <x:c r="A53" s="30"/>
      <x:c r="B53" s="30"/>
      <x:c r="C53" s="30"/>
      <x:c r="D53" s="30"/>
      <x:c r="E53" s="30"/>
      <x:c r="F53" s="30"/>
      <x:c r="G53" s="30"/>
      <x:c r="H53" s="30"/>
      <x:c r="I53" s="30"/>
      <x:c r="J53" s="30"/>
    </x:row>
    <x:row r="54" ht="48" customHeight="1">
      <x:c r="A54" s="25"/>
      <x:c r="B54" s="25"/>
      <x:c r="C54" s="25"/>
      <x:c r="D54" s="25"/>
      <x:c r="E54" s="25"/>
      <x:c r="F54" s="25"/>
      <x:c r="G54" s="25"/>
      <x:c r="H54" s="25"/>
      <x:c r="I54" s="25"/>
      <x:c r="J54" s="25"/>
    </x:row>
    <x:row r="55" ht="48" customHeight="1">
      <x:c r="A55" s="30"/>
      <x:c r="B55" s="30"/>
      <x:c r="C55" s="30"/>
      <x:c r="D55" s="30"/>
      <x:c r="E55" s="30"/>
      <x:c r="F55" s="30"/>
      <x:c r="G55" s="30"/>
      <x:c r="H55" s="30"/>
      <x:c r="I55" s="30"/>
      <x:c r="J55" s="30"/>
    </x:row>
    <x:row r="56" ht="48" customHeight="1">
      <x:c r="A56" s="25"/>
      <x:c r="B56" s="25"/>
      <x:c r="C56" s="25"/>
      <x:c r="D56" s="25"/>
      <x:c r="E56" s="25"/>
      <x:c r="F56" s="25"/>
      <x:c r="G56" s="25"/>
      <x:c r="H56" s="25"/>
      <x:c r="I56" s="25"/>
      <x:c r="J56" s="25"/>
    </x:row>
    <x:row r="57" ht="48" customHeight="1">
      <x:c r="A57" s="30"/>
      <x:c r="B57" s="30"/>
      <x:c r="C57" s="30"/>
      <x:c r="D57" s="30"/>
      <x:c r="E57" s="30"/>
      <x:c r="F57" s="30"/>
      <x:c r="G57" s="30"/>
      <x:c r="H57" s="30"/>
      <x:c r="I57" s="30"/>
      <x:c r="J57" s="30"/>
    </x:row>
  </x:sheetData>
  <x:mergeCells>
    <x:mergeCell ref="A2:J2"/>
    <x:mergeCell ref="A3:J3"/>
  </x:mergeCells>
  <x:conditionalFormatting sqref="H8:H57">
    <x:cfRule type="containsText" dxfId="5" priority="1" stopIfTrue="1" operator="containsText" text="Closed">
      <x:formula>NOT(ISERROR(SEARCH(("Closed"),(H8))))</x:formula>
    </x:cfRule>
  </x:conditionalFormatting>
  <x:conditionalFormatting sqref="H8:H57">
    <x:cfRule type="containsText" dxfId="5" priority="2" stopIfTrue="1" operator="containsText" text="Retest Passed">
      <x:formula>NOT(ISERROR(SEARCH(("Retest Passed"),(H8))))</x:formula>
    </x:cfRule>
  </x:conditionalFormatting>
  <x:conditionalFormatting sqref="H8:H57">
    <x:cfRule type="containsText" dxfId="6" priority="3" stopIfTrue="1" operator="containsText" text="Ready to Retest">
      <x:formula>NOT(ISERROR(SEARCH(("Ready to Retest"),(H8))))</x:formula>
    </x:cfRule>
  </x:conditionalFormatting>
  <x:conditionalFormatting sqref="H8:H57">
    <x:cfRule type="containsText" dxfId="7" priority="4" stopIfTrue="1" operator="containsText" text="Fix in Progress">
      <x:formula>NOT(ISERROR(SEARCH(("Fix in Progress"),(H8))))</x:formula>
    </x:cfRule>
  </x:conditionalFormatting>
  <x:conditionalFormatting sqref="H8:H57">
    <x:cfRule type="containsText" dxfId="4" priority="5" stopIfTrue="1" operator="containsText" text="Open">
      <x:formula>NOT(ISERROR(SEARCH(("Open"),(H8))))</x:formula>
    </x:cfRule>
  </x:conditionalFormatting>
  <x:dataValidations count="2">
    <x:dataValidation type="list" allowBlank="1" showErrorMessage="1" sqref="H8:H57">
      <x:formula1>"Open,Fix in Progress,Ready to Retest,Retest Passed,Closed"</x:formula1>
    </x:dataValidation>
    <x:dataValidation type="list" allowBlank="1" showErrorMessage="1" sqref="C8:C57">
      <x:formula1>"Python,Flowchart,Landbot"</x:formula1>
    </x:dataValidation>
  </x:dataValidations>
  <x:pageMargins left="0.7" right="0.7" top="0.75" bottom="0.75" header="0.3" footer="0.3"/>
</x:worksheet>
</file>